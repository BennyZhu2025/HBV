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da228d8817d1dd09/2Jinlin_Hou/20250311NHANES/LE9_FIB4/MR_LC9_FIB4/"/>
    </mc:Choice>
  </mc:AlternateContent>
  <xr:revisionPtr revIDLastSave="356" documentId="11_AD4DA82427541F7ACA7EB8AA780A36766AE8DE1E" xr6:coauthVersionLast="47" xr6:coauthVersionMax="47" xr10:uidLastSave="{941EBEDC-C843-4CE3-A133-314B5D11044F}"/>
  <bookViews>
    <workbookView minimized="1" xWindow="1296" yWindow="7368" windowWidth="20280" windowHeight="11700" activeTab="2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8" i="1" l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7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2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</calcChain>
</file>

<file path=xl/sharedStrings.xml><?xml version="1.0" encoding="utf-8"?>
<sst xmlns="http://schemas.openxmlformats.org/spreadsheetml/2006/main" count="466" uniqueCount="89">
  <si>
    <t>Exposure</t>
    <phoneticPr fontId="1" type="noConversion"/>
  </si>
  <si>
    <t>Method</t>
    <phoneticPr fontId="1" type="noConversion"/>
  </si>
  <si>
    <t>Overall healthy diet</t>
  </si>
  <si>
    <t>Fibrosis and chirrhosis of liver</t>
  </si>
  <si>
    <t>Inverse variance weighted</t>
  </si>
  <si>
    <t>Physical activity</t>
  </si>
  <si>
    <t>ebi-a-GCST90096893</t>
  </si>
  <si>
    <t>ieu-b-4860</t>
  </si>
  <si>
    <t>Smoking status</t>
  </si>
  <si>
    <t>ukb-a-224</t>
  </si>
  <si>
    <t>ebi-a-GCST90093322</t>
  </si>
  <si>
    <t>ebi-a-GCST90029014</t>
  </si>
  <si>
    <t>Sleep duration</t>
  </si>
  <si>
    <t>ieu-a-1088</t>
  </si>
  <si>
    <t>finn-b-K11_FIBROCHIRLIV</t>
  </si>
  <si>
    <t>ebi-a-GCST90029013</t>
  </si>
  <si>
    <t>Educational attainment (years of education)</t>
  </si>
  <si>
    <t>id.outcome</t>
  </si>
  <si>
    <t>id.exposure</t>
  </si>
  <si>
    <t>outcome</t>
  </si>
  <si>
    <t>exposure</t>
  </si>
  <si>
    <t>method</t>
  </si>
  <si>
    <t>nsnp</t>
  </si>
  <si>
    <t>b</t>
  </si>
  <si>
    <t>se</t>
  </si>
  <si>
    <t>pval</t>
  </si>
  <si>
    <t>ieu-b-4879</t>
  </si>
  <si>
    <t>telomere length</t>
  </si>
  <si>
    <t>ukb-b-7408</t>
  </si>
  <si>
    <t>Average total household income before tax</t>
  </si>
  <si>
    <t>ieu-a-1283</t>
  </si>
  <si>
    <t>Alcohol consumption</t>
  </si>
  <si>
    <t>ebi-a-GCST90018805</t>
  </si>
  <si>
    <t>Chronic hepatitis C infection</t>
  </si>
  <si>
    <t>ebi-a-GCST90018804</t>
  </si>
  <si>
    <t>Chronic hepatitis B infection</t>
  </si>
  <si>
    <t>finn-b-NAFLD</t>
  </si>
  <si>
    <t>Nonalcoholic fatty liver disease</t>
  </si>
  <si>
    <t>ukb-a-9</t>
  </si>
  <si>
    <t>BMI</t>
    <phoneticPr fontId="1" type="noConversion"/>
  </si>
  <si>
    <t>ukb-b-19953</t>
  </si>
  <si>
    <t>ebi-a-GCST90029007</t>
  </si>
  <si>
    <t>HDL cholesterol</t>
  </si>
  <si>
    <t>ieu-b-109</t>
  </si>
  <si>
    <t>ebi-a-GCST90018956</t>
  </si>
  <si>
    <t>Glucose</t>
    <phoneticPr fontId="1" type="noConversion"/>
  </si>
  <si>
    <t>ebi-a-GCST90002232</t>
  </si>
  <si>
    <t>ebi-a-GCST90018955</t>
  </si>
  <si>
    <t>Hypertension</t>
  </si>
  <si>
    <t>finn-b-I9_HYPTENS</t>
  </si>
  <si>
    <t>ukb-d-I9_HYPTENS</t>
  </si>
  <si>
    <t>Depression</t>
  </si>
  <si>
    <t>ukb-d-F5_DEPRESSIO</t>
  </si>
  <si>
    <t>ebi-a-GCST90018833</t>
  </si>
  <si>
    <t>OR1</t>
    <phoneticPr fontId="1" type="noConversion"/>
  </si>
  <si>
    <t>or1_lci95</t>
    <phoneticPr fontId="1" type="noConversion"/>
  </si>
  <si>
    <t>or1_uci95</t>
    <phoneticPr fontId="1" type="noConversion"/>
  </si>
  <si>
    <t>OR2</t>
    <phoneticPr fontId="1" type="noConversion"/>
  </si>
  <si>
    <t>or2_lci95</t>
    <phoneticPr fontId="1" type="noConversion"/>
  </si>
  <si>
    <t>or2_uci95</t>
    <phoneticPr fontId="1" type="noConversion"/>
  </si>
  <si>
    <t>OR3</t>
    <phoneticPr fontId="1" type="noConversion"/>
  </si>
  <si>
    <t>or3_lci95</t>
    <phoneticPr fontId="1" type="noConversion"/>
  </si>
  <si>
    <t>or3_uci95</t>
    <phoneticPr fontId="1" type="noConversion"/>
  </si>
  <si>
    <t>OR4</t>
    <phoneticPr fontId="1" type="noConversion"/>
  </si>
  <si>
    <t>or4_lci95</t>
    <phoneticPr fontId="1" type="noConversion"/>
  </si>
  <si>
    <t>or4_uci95</t>
    <phoneticPr fontId="1" type="noConversion"/>
  </si>
  <si>
    <t>WM</t>
  </si>
  <si>
    <t>IVW</t>
  </si>
  <si>
    <t>SM</t>
  </si>
  <si>
    <t>Egger</t>
  </si>
  <si>
    <t>s</t>
    <phoneticPr fontId="1" type="noConversion"/>
  </si>
  <si>
    <t>1st p</t>
    <phoneticPr fontId="1" type="noConversion"/>
  </si>
  <si>
    <t>1st  p</t>
    <phoneticPr fontId="1" type="noConversion"/>
  </si>
  <si>
    <t>2nd p</t>
    <phoneticPr fontId="1" type="noConversion"/>
  </si>
  <si>
    <t>1st OR (95%CI)</t>
    <phoneticPr fontId="1" type="noConversion"/>
  </si>
  <si>
    <t>2nd OR (95%CI)</t>
    <phoneticPr fontId="1" type="noConversion"/>
  </si>
  <si>
    <t>2nd Exposure ID</t>
    <phoneticPr fontId="1" type="noConversion"/>
  </si>
  <si>
    <t>1st Exposure ID</t>
    <phoneticPr fontId="1" type="noConversion"/>
  </si>
  <si>
    <t>direction</t>
  </si>
  <si>
    <t>or</t>
  </si>
  <si>
    <t>or_lci95</t>
  </si>
  <si>
    <t>or_uci95</t>
  </si>
  <si>
    <t>forward</t>
  </si>
  <si>
    <t>reverse</t>
  </si>
  <si>
    <t>Fasting glucose</t>
  </si>
  <si>
    <t>Glucose levels</t>
  </si>
  <si>
    <t>Smoking status: Previous</t>
  </si>
  <si>
    <t>Body mass index (BMI)</t>
  </si>
  <si>
    <t>Body mass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</si>
</sst>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_ "/>
    <numFmt numFmtId="177" formatCode="0_ "/>
    <numFmt numFmtId="178" formatCode="0.E+00"/>
    <numFmt numFmtId="179" formatCode="0_);[Red]\(0\)"/>
  </numFmts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0" xfId="0" applyFont="1"/>
    <xf numFmtId="176" fontId="0" fillId="0" borderId="0" xfId="0" applyNumberFormat="1"/>
    <xf numFmtId="0" fontId="3" fillId="0" borderId="1" xfId="0" applyFont="1" applyBorder="1"/>
    <xf numFmtId="176" fontId="3" fillId="0" borderId="1" xfId="0" applyNumberFormat="1" applyFont="1" applyBorder="1"/>
    <xf numFmtId="0" fontId="4" fillId="0" borderId="1" xfId="0" applyFont="1" applyBorder="1" applyAlignment="1">
      <alignment horizontal="center"/>
    </xf>
    <xf numFmtId="176" fontId="4" fillId="0" borderId="1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176" fontId="2" fillId="0" borderId="1" xfId="0" applyNumberFormat="1" applyFont="1" applyBorder="1"/>
    <xf numFmtId="11" fontId="2" fillId="0" borderId="1" xfId="0" applyNumberFormat="1" applyFont="1" applyBorder="1"/>
    <xf numFmtId="177" fontId="2" fillId="0" borderId="1" xfId="0" applyNumberFormat="1" applyFont="1" applyBorder="1"/>
    <xf numFmtId="11" fontId="3" fillId="0" borderId="1" xfId="0" applyNumberFormat="1" applyFont="1" applyBorder="1"/>
    <xf numFmtId="178" fontId="2" fillId="0" borderId="1" xfId="0" applyNumberFormat="1" applyFont="1" applyBorder="1"/>
    <xf numFmtId="179" fontId="2" fillId="0" borderId="1" xfId="0" applyNumberFormat="1" applyFont="1" applyBorder="1"/>
    <xf numFmtId="17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Z48"/>
  <sheetViews>
    <sheetView topLeftCell="G1" workbookViewId="0">
      <pane ySplit="1" topLeftCell="A4" activePane="bottomLeft" state="frozen"/>
      <selection pane="bottomLeft" sqref="A1:Z44"/>
    </sheetView>
  </sheetViews>
  <sheetFormatPr defaultRowHeight="13.8" x14ac:dyDescent="0.25"/>
  <cols>
    <col min="1" max="1" width="17.6640625" style="1" customWidth="1"/>
    <col min="2" max="3" width="8.88671875" style="1"/>
    <col min="4" max="4" width="14" style="1" bestFit="1" customWidth="1"/>
    <col min="5" max="5" width="8.88671875" style="1"/>
    <col min="6" max="6" width="13.5546875" style="1" customWidth="1"/>
    <col min="7" max="10" width="8.88671875" style="1"/>
    <col min="11" max="11" width="8.88671875" style="1" customWidth="1"/>
    <col min="12" max="12" width="8.88671875" style="1"/>
    <col min="13" max="13" width="22.77734375" style="1" customWidth="1"/>
    <col min="14" max="17" width="8.88671875" style="1"/>
    <col min="18" max="18" width="19.88671875" style="1" customWidth="1"/>
    <col min="19" max="21" width="8.88671875" style="1"/>
    <col min="22" max="22" width="9" style="1" customWidth="1"/>
    <col min="23" max="16384" width="8.88671875" style="1"/>
  </cols>
  <sheetData>
    <row r="1" spans="1:26" x14ac:dyDescent="0.25">
      <c r="A1" s="3" t="s">
        <v>0</v>
      </c>
      <c r="B1" s="3" t="s">
        <v>1</v>
      </c>
      <c r="C1" s="3"/>
      <c r="D1" s="3" t="s">
        <v>54</v>
      </c>
      <c r="E1" s="3" t="s">
        <v>55</v>
      </c>
      <c r="F1" s="3" t="s">
        <v>56</v>
      </c>
      <c r="G1" s="3" t="s">
        <v>57</v>
      </c>
      <c r="H1" s="3" t="s">
        <v>58</v>
      </c>
      <c r="I1" s="3" t="s">
        <v>59</v>
      </c>
      <c r="J1" s="3" t="s">
        <v>77</v>
      </c>
      <c r="K1" s="3" t="s">
        <v>74</v>
      </c>
      <c r="L1" s="3" t="s">
        <v>72</v>
      </c>
      <c r="M1" s="3" t="s">
        <v>75</v>
      </c>
      <c r="N1" s="3" t="s">
        <v>73</v>
      </c>
      <c r="O1" s="3"/>
      <c r="P1" s="3" t="s">
        <v>74</v>
      </c>
      <c r="Q1" s="3" t="s">
        <v>71</v>
      </c>
      <c r="R1" s="3" t="s">
        <v>75</v>
      </c>
      <c r="S1" s="3" t="s">
        <v>73</v>
      </c>
      <c r="T1" s="3" t="s">
        <v>60</v>
      </c>
      <c r="U1" s="3" t="s">
        <v>61</v>
      </c>
      <c r="V1" s="3" t="s">
        <v>62</v>
      </c>
      <c r="W1" s="3" t="s">
        <v>63</v>
      </c>
      <c r="X1" s="3" t="s">
        <v>64</v>
      </c>
      <c r="Y1" s="3" t="s">
        <v>65</v>
      </c>
      <c r="Z1" s="3" t="s">
        <v>76</v>
      </c>
    </row>
    <row r="2" spans="1:26" hidden="1" x14ac:dyDescent="0.25">
      <c r="A2" s="3" t="s">
        <v>2</v>
      </c>
      <c r="B2" s="3" t="s">
        <v>69</v>
      </c>
      <c r="C2" s="3"/>
      <c r="D2" s="3">
        <v>12.4913725505437</v>
      </c>
      <c r="E2" s="3">
        <v>0.97472867084347303</v>
      </c>
      <c r="F2" s="11">
        <v>160.07981796765401</v>
      </c>
      <c r="G2" s="3">
        <v>1.00158444446771</v>
      </c>
      <c r="H2" s="3">
        <v>0.99154453959182198</v>
      </c>
      <c r="I2" s="3">
        <v>1.01172600860942</v>
      </c>
      <c r="J2" s="8" t="s">
        <v>6</v>
      </c>
      <c r="K2" s="3" t="str">
        <f>IF(D2&gt;10000,TEXT(D2,"0.00E+00"),TEXT(D2,"0.00")) &amp;
" (" &amp;
IF(E2&gt;10000,TEXT(E2,"0.00E+00"),TEXT(E2,"0.00")) &amp;
", " &amp;
IF(F2&gt;10000,TEXT(F2,"0.00E+00"),TEXT(F2,"0.00")) &amp;
")"</f>
        <v>12.49 (0.97, 160.08)</v>
      </c>
      <c r="L2" s="8">
        <v>5.6965513063733701E-2</v>
      </c>
      <c r="M2" s="3"/>
      <c r="N2" s="3"/>
      <c r="O2" s="3"/>
      <c r="P2" s="3" t="str">
        <f t="shared" ref="P2:P46" si="0">IF(G2&gt;10000,TEXT(G2,"0.00E+00"),TEXT(G2,"0.00")) &amp;
" (" &amp;
IF(H2&gt;10000,TEXT(H2,"0.00E+00"),TEXT(H2,"0.00")) &amp;
", " &amp;
IF(I2&gt;10000,TEXT(I2,"0.00E+00"),TEXT(I2,"0.00")) &amp;
")"</f>
        <v>1.00 (0.99, 1.01)</v>
      </c>
      <c r="Q2" s="8">
        <v>0.76703951147696303</v>
      </c>
      <c r="R2" s="3"/>
      <c r="S2" s="3"/>
      <c r="T2" s="3"/>
      <c r="U2" s="3"/>
      <c r="V2" s="3"/>
      <c r="W2" s="3"/>
      <c r="X2" s="3"/>
      <c r="Y2" s="3"/>
      <c r="Z2" s="3"/>
    </row>
    <row r="3" spans="1:26" hidden="1" x14ac:dyDescent="0.25">
      <c r="A3" s="3"/>
      <c r="B3" s="3" t="s">
        <v>66</v>
      </c>
      <c r="C3" s="3"/>
      <c r="D3" s="3">
        <v>2.7587691339113798</v>
      </c>
      <c r="E3" s="3">
        <v>1.03201087961419</v>
      </c>
      <c r="F3" s="11">
        <v>7.37473536816535</v>
      </c>
      <c r="G3" s="3">
        <v>1.0021049383519101</v>
      </c>
      <c r="H3" s="3">
        <v>0.99450206152890397</v>
      </c>
      <c r="I3" s="3">
        <v>1.0097659384691999</v>
      </c>
      <c r="J3" s="8" t="s">
        <v>6</v>
      </c>
      <c r="K3" s="3" t="str">
        <f t="shared" ref="K3:K46" si="1">IF(D3&gt;10000,TEXT(D3,"0.00E+00"),TEXT(D3,"0.00")) &amp;
" (" &amp;
IF(E3&gt;10000,TEXT(E3,"0.00E+00"),TEXT(E3,"0.00")) &amp;
", " &amp;
IF(F3&gt;10000,TEXT(F3,"0.00E+00"),TEXT(F3,"0.00")) &amp;
")"</f>
        <v>2.76 (1.03, 7.37)</v>
      </c>
      <c r="L3" s="8">
        <v>4.3092895320189201E-2</v>
      </c>
      <c r="M3" s="3"/>
      <c r="N3" s="3"/>
      <c r="O3" s="3"/>
      <c r="P3" s="3" t="str">
        <f t="shared" si="0"/>
        <v>1.00 (0.99, 1.01)</v>
      </c>
      <c r="Q3" s="8">
        <v>0.58840106401788705</v>
      </c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3" t="s">
        <v>2</v>
      </c>
      <c r="B4" s="3" t="s">
        <v>67</v>
      </c>
      <c r="C4" s="3"/>
      <c r="D4" s="3">
        <v>1.51972458034267</v>
      </c>
      <c r="E4" s="3">
        <v>0.76087654439255603</v>
      </c>
      <c r="F4" s="11">
        <v>3.03539755183483</v>
      </c>
      <c r="G4" s="3">
        <v>1.0008011987952901</v>
      </c>
      <c r="H4" s="3">
        <v>0.99468762932511301</v>
      </c>
      <c r="I4" s="3">
        <v>1.0069523436112999</v>
      </c>
      <c r="J4" s="8" t="s">
        <v>6</v>
      </c>
      <c r="K4" s="3" t="str">
        <f t="shared" si="1"/>
        <v>1.52 (0.76, 3.04)</v>
      </c>
      <c r="L4" s="8">
        <v>0.235721341328129</v>
      </c>
      <c r="M4" s="3"/>
      <c r="N4" s="3"/>
      <c r="O4" s="3"/>
      <c r="P4" s="3" t="str">
        <f t="shared" si="0"/>
        <v>1.00 (0.99, 1.01)</v>
      </c>
      <c r="Q4" s="8">
        <v>0.79781170892766096</v>
      </c>
      <c r="R4" s="3"/>
      <c r="S4" s="3"/>
      <c r="T4" s="3"/>
      <c r="U4" s="3"/>
      <c r="V4" s="3"/>
      <c r="W4" s="3"/>
      <c r="X4" s="3"/>
      <c r="Y4" s="3"/>
      <c r="Z4" s="3"/>
    </row>
    <row r="5" spans="1:26" hidden="1" x14ac:dyDescent="0.25">
      <c r="A5" s="3"/>
      <c r="B5" s="3" t="s">
        <v>68</v>
      </c>
      <c r="C5" s="3"/>
      <c r="D5" s="3">
        <v>7.3934120821518601</v>
      </c>
      <c r="E5" s="3">
        <v>0.91283616634953002</v>
      </c>
      <c r="F5" s="11">
        <v>59.882095201274602</v>
      </c>
      <c r="G5" s="3">
        <v>1.0041698084045101</v>
      </c>
      <c r="H5" s="3">
        <v>0.99011216422211001</v>
      </c>
      <c r="I5" s="3">
        <v>1.0184270434687399</v>
      </c>
      <c r="J5" s="8" t="s">
        <v>6</v>
      </c>
      <c r="K5" s="3" t="str">
        <f t="shared" si="1"/>
        <v>7.39 (0.91, 59.88)</v>
      </c>
      <c r="L5" s="8">
        <v>6.5567812006414802E-2</v>
      </c>
      <c r="M5" s="3"/>
      <c r="N5" s="3"/>
      <c r="O5" s="3"/>
      <c r="P5" s="3" t="str">
        <f t="shared" si="0"/>
        <v>1.00 (0.99, 1.02)</v>
      </c>
      <c r="Q5" s="8">
        <v>0.57884279220382695</v>
      </c>
      <c r="R5" s="3"/>
      <c r="S5" s="3"/>
      <c r="T5" s="3"/>
      <c r="U5" s="3"/>
      <c r="V5" s="3"/>
      <c r="W5" s="3"/>
      <c r="X5" s="3"/>
      <c r="Y5" s="3"/>
      <c r="Z5" s="3"/>
    </row>
    <row r="6" spans="1:26" hidden="1" x14ac:dyDescent="0.25">
      <c r="A6" s="3"/>
      <c r="B6" s="3" t="s">
        <v>66</v>
      </c>
      <c r="C6" s="3"/>
      <c r="D6" s="3">
        <v>5.41683596704243</v>
      </c>
      <c r="E6" s="3">
        <v>1.03289268690568</v>
      </c>
      <c r="F6" s="11">
        <v>28.407706111025998</v>
      </c>
      <c r="G6" s="3">
        <v>1.0030800088224101</v>
      </c>
      <c r="H6" s="3">
        <v>0.99483541734630798</v>
      </c>
      <c r="I6" s="3">
        <v>1.01139292646324</v>
      </c>
      <c r="J6" s="8" t="s">
        <v>6</v>
      </c>
      <c r="K6" s="3" t="str">
        <f t="shared" si="1"/>
        <v>5.42 (1.03, 28.41)</v>
      </c>
      <c r="L6" s="8">
        <v>5.0077124187959003E-2</v>
      </c>
      <c r="M6" s="3"/>
      <c r="N6" s="3"/>
      <c r="O6" s="3"/>
      <c r="P6" s="3" t="str">
        <f t="shared" si="0"/>
        <v>1.00 (0.99, 1.01)</v>
      </c>
      <c r="Q6" s="8">
        <v>0.486026257178231</v>
      </c>
      <c r="R6" s="3"/>
      <c r="S6" s="3"/>
      <c r="T6" s="3"/>
      <c r="U6" s="3"/>
      <c r="V6" s="3"/>
      <c r="W6" s="3"/>
      <c r="X6" s="3"/>
      <c r="Y6" s="3"/>
      <c r="Z6" s="3"/>
    </row>
    <row r="7" spans="1:26" hidden="1" x14ac:dyDescent="0.25">
      <c r="A7" s="8" t="s">
        <v>5</v>
      </c>
      <c r="B7" s="8" t="s">
        <v>69</v>
      </c>
      <c r="C7" s="8"/>
      <c r="D7" s="8">
        <v>666.42547423649103</v>
      </c>
      <c r="E7" s="8">
        <v>0.58421163599005799</v>
      </c>
      <c r="F7" s="9">
        <v>760208.94715436501</v>
      </c>
      <c r="G7" s="8">
        <v>1.0014528104346101</v>
      </c>
      <c r="H7" s="8">
        <v>0.99444334560800196</v>
      </c>
      <c r="I7" s="8">
        <v>1.0085116823967499</v>
      </c>
      <c r="J7" s="8" t="s">
        <v>7</v>
      </c>
      <c r="K7" s="3" t="str">
        <f t="shared" si="1"/>
        <v>666.43 (0.58, 7.60E+05)</v>
      </c>
      <c r="L7" s="8">
        <v>8.9062130697116701E-2</v>
      </c>
      <c r="M7" s="3" t="str">
        <f t="shared" ref="M7:M46" si="2">IF(T7&gt;10000,TEXT(T7,"0.00E+00"),TEXT(T7,"0.00")) &amp; " (" &amp; IF(U7&gt;10000,TEXT(U7,"0.00E+00"),TEXT(U7,"0.00")) &amp; ", " &amp; IF(V7&gt;10000,TEXT(V7,"0.00E+00"),TEXT(V7,"0.00")) &amp; ")"</f>
        <v>1.07 (0.75, 1.53)</v>
      </c>
      <c r="N7" s="8">
        <v>0.69351262833443195</v>
      </c>
      <c r="O7" s="8"/>
      <c r="P7" s="3" t="str">
        <f t="shared" si="0"/>
        <v>1.00 (0.99, 1.01)</v>
      </c>
      <c r="Q7" s="8">
        <v>0.69392850079676804</v>
      </c>
      <c r="R7" s="3" t="str">
        <f t="shared" ref="R7:R46" si="3">IF(W7&gt;10000,TEXT(W7,"0.00E+00"),TEXT(W7,"0.00")) &amp; " (" &amp; IF(X7&gt;10000,TEXT(X7,"0.00E+00"),TEXT(X7,"0.00")) &amp; ", " &amp; IF(Y7&gt;10000,TEXT(Y7,"0.00E+00"),TEXT(Y7,"0.00")) &amp; ")"</f>
        <v>1.01 (0.90, 1.13)</v>
      </c>
      <c r="S7" s="8">
        <v>0.86750511938402897</v>
      </c>
      <c r="T7" s="8">
        <v>1.0747278222794601</v>
      </c>
      <c r="U7" s="8">
        <v>0.75293670278033398</v>
      </c>
      <c r="V7" s="8">
        <v>1.5340464712589801</v>
      </c>
      <c r="W7" s="8">
        <v>1.0101947691024999</v>
      </c>
      <c r="X7" s="8">
        <v>0.89917820966610396</v>
      </c>
      <c r="Y7" s="8">
        <v>1.1349179290065301</v>
      </c>
      <c r="Z7" s="8" t="s">
        <v>10</v>
      </c>
    </row>
    <row r="8" spans="1:26" hidden="1" x14ac:dyDescent="0.25">
      <c r="A8" s="3"/>
      <c r="B8" s="8" t="s">
        <v>66</v>
      </c>
      <c r="C8" s="8"/>
      <c r="D8" s="8">
        <v>0.50447000958366806</v>
      </c>
      <c r="E8" s="8">
        <v>2.0671665308477701E-2</v>
      </c>
      <c r="F8" s="8">
        <v>12.3110541299726</v>
      </c>
      <c r="G8" s="8">
        <v>1.00267060781257</v>
      </c>
      <c r="H8" s="8">
        <v>0.99777359833460499</v>
      </c>
      <c r="I8" s="8">
        <v>1.0075916515021599</v>
      </c>
      <c r="J8" s="8" t="s">
        <v>7</v>
      </c>
      <c r="K8" s="3" t="str">
        <f t="shared" si="1"/>
        <v>0.50 (0.02, 12.31)</v>
      </c>
      <c r="L8" s="8">
        <v>0.67463838524304198</v>
      </c>
      <c r="M8" s="3" t="str">
        <f t="shared" si="2"/>
        <v>1.03 (0.91, 1.16)</v>
      </c>
      <c r="N8" s="8">
        <v>0.61190648750917498</v>
      </c>
      <c r="O8" s="8"/>
      <c r="P8" s="3" t="str">
        <f t="shared" si="0"/>
        <v>1.00 (1.00, 1.01)</v>
      </c>
      <c r="Q8" s="8">
        <v>0.28565329781233101</v>
      </c>
      <c r="R8" s="3" t="str">
        <f t="shared" si="3"/>
        <v>0.98 (0.90, 1.06)</v>
      </c>
      <c r="S8" s="8">
        <v>0.62164123586097797</v>
      </c>
      <c r="T8" s="8">
        <v>1.0317382350675699</v>
      </c>
      <c r="U8" s="8">
        <v>0.91442480246631497</v>
      </c>
      <c r="V8" s="8">
        <v>1.1641020484454201</v>
      </c>
      <c r="W8" s="8">
        <v>0.97953508207074502</v>
      </c>
      <c r="X8" s="8">
        <v>0.90231167838767401</v>
      </c>
      <c r="Y8" s="8">
        <v>1.0633675701968499</v>
      </c>
      <c r="Z8" s="8" t="s">
        <v>10</v>
      </c>
    </row>
    <row r="9" spans="1:26" x14ac:dyDescent="0.25">
      <c r="A9" s="8" t="s">
        <v>5</v>
      </c>
      <c r="B9" s="8" t="s">
        <v>67</v>
      </c>
      <c r="C9" s="8"/>
      <c r="D9" s="8">
        <v>0.373844698103378</v>
      </c>
      <c r="E9" s="8">
        <v>2.8498529308655901E-2</v>
      </c>
      <c r="F9" s="8">
        <v>4.9041077448707604</v>
      </c>
      <c r="G9" s="8">
        <v>1.0036667850487799</v>
      </c>
      <c r="H9" s="8">
        <v>0.99940809567455002</v>
      </c>
      <c r="I9" s="8">
        <v>1.0079436215995901</v>
      </c>
      <c r="J9" s="8" t="s">
        <v>7</v>
      </c>
      <c r="K9" s="3" t="str">
        <f t="shared" si="1"/>
        <v>0.37 (0.03, 4.90)</v>
      </c>
      <c r="L9" s="8">
        <v>0.45372701439811303</v>
      </c>
      <c r="M9" s="3" t="str">
        <f t="shared" si="2"/>
        <v>0.97 (0.90, 1.06)</v>
      </c>
      <c r="N9" s="8">
        <v>0.53637551263822503</v>
      </c>
      <c r="O9" s="8"/>
      <c r="P9" s="3" t="str">
        <f t="shared" si="0"/>
        <v>1.00 (1.00, 1.01)</v>
      </c>
      <c r="Q9" s="8">
        <v>9.1586925732071903E-2</v>
      </c>
      <c r="R9" s="3" t="str">
        <f t="shared" si="3"/>
        <v>0.99 (0.92, 1.06)</v>
      </c>
      <c r="S9" s="8">
        <v>0.76920390106624803</v>
      </c>
      <c r="T9" s="8">
        <v>0.97434400276070299</v>
      </c>
      <c r="U9" s="8">
        <v>0.89728569374159195</v>
      </c>
      <c r="V9" s="8">
        <v>1.0580200290022099</v>
      </c>
      <c r="W9" s="8">
        <v>0.98944483009909001</v>
      </c>
      <c r="X9" s="8">
        <v>0.92173843976153103</v>
      </c>
      <c r="Y9" s="8">
        <v>1.0621246001882101</v>
      </c>
      <c r="Z9" s="8" t="s">
        <v>10</v>
      </c>
    </row>
    <row r="10" spans="1:26" hidden="1" x14ac:dyDescent="0.25">
      <c r="A10" s="3"/>
      <c r="B10" s="8" t="s">
        <v>68</v>
      </c>
      <c r="C10" s="8"/>
      <c r="D10" s="8">
        <v>12.6971565674076</v>
      </c>
      <c r="E10" s="8">
        <v>1.07723699770694E-2</v>
      </c>
      <c r="F10" s="8">
        <v>14965.8603668867</v>
      </c>
      <c r="G10" s="8">
        <v>1.0026685430712901</v>
      </c>
      <c r="H10" s="8">
        <v>0.99516783685092502</v>
      </c>
      <c r="I10" s="8">
        <v>1.0102257830658801</v>
      </c>
      <c r="J10" s="8" t="s">
        <v>7</v>
      </c>
      <c r="K10" s="3" t="str">
        <f t="shared" si="1"/>
        <v>12.70 (0.01, 1.50E+04)</v>
      </c>
      <c r="L10" s="8">
        <v>0.49076631690669797</v>
      </c>
      <c r="M10" s="3" t="str">
        <f t="shared" si="2"/>
        <v>1.11 (0.84, 1.46)</v>
      </c>
      <c r="N10" s="8">
        <v>0.45598244566091201</v>
      </c>
      <c r="O10" s="8"/>
      <c r="P10" s="3" t="str">
        <f t="shared" si="0"/>
        <v>1.00 (1.00, 1.01)</v>
      </c>
      <c r="Q10" s="8">
        <v>0.50109395038368498</v>
      </c>
      <c r="R10" s="3" t="str">
        <f t="shared" si="3"/>
        <v>0.95 (0.83, 1.09)</v>
      </c>
      <c r="S10" s="8">
        <v>0.47677578868389597</v>
      </c>
      <c r="T10" s="8">
        <v>1.1112053201926699</v>
      </c>
      <c r="U10" s="8">
        <v>0.844372198851015</v>
      </c>
      <c r="V10" s="8">
        <v>1.46236134409059</v>
      </c>
      <c r="W10" s="8">
        <v>0.95132951023133605</v>
      </c>
      <c r="X10" s="8">
        <v>0.83273037883641399</v>
      </c>
      <c r="Y10" s="8">
        <v>1.0868197678840601</v>
      </c>
      <c r="Z10" s="8" t="s">
        <v>10</v>
      </c>
    </row>
    <row r="11" spans="1:26" hidden="1" x14ac:dyDescent="0.25">
      <c r="A11" s="3"/>
      <c r="B11" s="8" t="s">
        <v>66</v>
      </c>
      <c r="C11" s="8"/>
      <c r="D11" s="8">
        <v>6.3369584284277206E-2</v>
      </c>
      <c r="E11" s="8">
        <v>1.18916801248217E-4</v>
      </c>
      <c r="F11" s="8">
        <v>33.769023133914203</v>
      </c>
      <c r="G11" s="8">
        <v>1.0020550366888199</v>
      </c>
      <c r="H11" s="8">
        <v>0.99694580450470605</v>
      </c>
      <c r="I11" s="8">
        <v>1.0071904530981901</v>
      </c>
      <c r="J11" s="8" t="s">
        <v>7</v>
      </c>
      <c r="K11" s="3" t="str">
        <f t="shared" si="1"/>
        <v>0.06 (0.00, 33.77)</v>
      </c>
      <c r="L11" s="8">
        <v>0.40108586741990598</v>
      </c>
      <c r="M11" s="3" t="str">
        <f t="shared" si="2"/>
        <v>1.11 (0.87, 1.43)</v>
      </c>
      <c r="N11" s="8">
        <v>0.41292622577940902</v>
      </c>
      <c r="O11" s="8"/>
      <c r="P11" s="3" t="str">
        <f t="shared" si="0"/>
        <v>1.00 (1.00, 1.01)</v>
      </c>
      <c r="Q11" s="8">
        <v>0.44782359672619299</v>
      </c>
      <c r="R11" s="3" t="str">
        <f t="shared" si="3"/>
        <v>0.98 (0.89, 1.07)</v>
      </c>
      <c r="S11" s="8">
        <v>0.594612462584726</v>
      </c>
      <c r="T11" s="8">
        <v>1.1112053201926699</v>
      </c>
      <c r="U11" s="8">
        <v>0.865534215097024</v>
      </c>
      <c r="V11" s="8">
        <v>1.4266071081731699</v>
      </c>
      <c r="W11" s="8">
        <v>0.97588770419525195</v>
      </c>
      <c r="X11" s="8">
        <v>0.89412027358909396</v>
      </c>
      <c r="Y11" s="8">
        <v>1.0651327783639399</v>
      </c>
      <c r="Z11" s="8" t="s">
        <v>10</v>
      </c>
    </row>
    <row r="12" spans="1:26" hidden="1" x14ac:dyDescent="0.25">
      <c r="A12" s="8" t="s">
        <v>8</v>
      </c>
      <c r="B12" s="8" t="s">
        <v>69</v>
      </c>
      <c r="C12" s="8"/>
      <c r="D12" s="8">
        <v>0.57962089979500997</v>
      </c>
      <c r="E12" s="8">
        <v>3.6872145237114497E-2</v>
      </c>
      <c r="F12" s="8">
        <v>9.1114955562989106</v>
      </c>
      <c r="G12" s="8">
        <v>1.0007922486324501</v>
      </c>
      <c r="H12" s="8">
        <v>0.99558990950496395</v>
      </c>
      <c r="I12" s="8">
        <v>1.00602177197719</v>
      </c>
      <c r="J12" s="8" t="s">
        <v>11</v>
      </c>
      <c r="K12" s="3" t="str">
        <f t="shared" si="1"/>
        <v>0.58 (0.04, 9.11)</v>
      </c>
      <c r="L12" s="8">
        <v>0.69826444944809096</v>
      </c>
      <c r="M12" s="3" t="str">
        <f t="shared" si="2"/>
        <v>0.14 (0.00, 429.91)</v>
      </c>
      <c r="N12" s="8">
        <v>0.63671456849516905</v>
      </c>
      <c r="O12" s="8"/>
      <c r="P12" s="3" t="str">
        <f t="shared" si="0"/>
        <v>1.00 (1.00, 1.01)</v>
      </c>
      <c r="Q12" s="8">
        <v>0.77093089853869201</v>
      </c>
      <c r="R12" s="3" t="str">
        <f t="shared" si="3"/>
        <v>1.00 (0.99, 1.01)</v>
      </c>
      <c r="S12" s="8">
        <v>0.93476485818288102</v>
      </c>
      <c r="T12" s="8">
        <v>0.14456273489447499</v>
      </c>
      <c r="U12" s="8">
        <v>4.8610821900699298E-5</v>
      </c>
      <c r="V12" s="8">
        <v>429.912178050823</v>
      </c>
      <c r="W12" s="8">
        <v>0.99974097869393297</v>
      </c>
      <c r="X12" s="8">
        <v>0.99371148525299502</v>
      </c>
      <c r="Y12" s="8">
        <v>1.00580705699043</v>
      </c>
      <c r="Z12" s="8" t="s">
        <v>9</v>
      </c>
    </row>
    <row r="13" spans="1:26" hidden="1" x14ac:dyDescent="0.25">
      <c r="A13" s="3"/>
      <c r="B13" s="8" t="s">
        <v>66</v>
      </c>
      <c r="C13" s="8"/>
      <c r="D13" s="8">
        <v>1.7456881212865401</v>
      </c>
      <c r="E13" s="8">
        <v>0.57688569093086395</v>
      </c>
      <c r="F13" s="8">
        <v>5.2825491509134004</v>
      </c>
      <c r="G13" s="8">
        <v>1.00064596962893</v>
      </c>
      <c r="H13" s="8">
        <v>0.997491136419424</v>
      </c>
      <c r="I13" s="8">
        <v>1.0038107808444801</v>
      </c>
      <c r="J13" s="8" t="s">
        <v>11</v>
      </c>
      <c r="K13" s="3" t="str">
        <f t="shared" si="1"/>
        <v>1.75 (0.58, 5.28)</v>
      </c>
      <c r="L13" s="8">
        <v>0.32402084034169898</v>
      </c>
      <c r="M13" s="3" t="str">
        <f t="shared" si="2"/>
        <v>3.15 (0.23, 42.44)</v>
      </c>
      <c r="N13" s="8">
        <v>0.38729040840479301</v>
      </c>
      <c r="O13" s="8"/>
      <c r="P13" s="3" t="str">
        <f t="shared" si="0"/>
        <v>1.00 (1.00, 1.00)</v>
      </c>
      <c r="Q13" s="8">
        <v>0.68855463782165005</v>
      </c>
      <c r="R13" s="3" t="str">
        <f t="shared" si="3"/>
        <v>1.00 (1.00, 1.00)</v>
      </c>
      <c r="S13" s="8">
        <v>0.68681567803768095</v>
      </c>
      <c r="T13" s="8">
        <v>3.1493482933067201</v>
      </c>
      <c r="U13" s="8">
        <v>0.23372541195895699</v>
      </c>
      <c r="V13" s="8">
        <v>42.436098793979703</v>
      </c>
      <c r="W13" s="8">
        <v>0.99937398049132597</v>
      </c>
      <c r="X13" s="8">
        <v>0.99633625943850801</v>
      </c>
      <c r="Y13" s="8">
        <v>1.0024209632257399</v>
      </c>
      <c r="Z13" s="8" t="s">
        <v>9</v>
      </c>
    </row>
    <row r="14" spans="1:26" x14ac:dyDescent="0.25">
      <c r="A14" s="8" t="s">
        <v>8</v>
      </c>
      <c r="B14" s="8" t="s">
        <v>67</v>
      </c>
      <c r="C14" s="8"/>
      <c r="D14" s="8">
        <v>2.7361576761845798</v>
      </c>
      <c r="E14" s="8">
        <v>1.31163616207761</v>
      </c>
      <c r="F14" s="8">
        <v>5.7078014813843101</v>
      </c>
      <c r="G14" s="8">
        <v>1.0023328373095599</v>
      </c>
      <c r="H14" s="8">
        <v>0.99910621701761504</v>
      </c>
      <c r="I14" s="8">
        <v>1.00556987799359</v>
      </c>
      <c r="J14" s="8" t="s">
        <v>11</v>
      </c>
      <c r="K14" s="3" t="str">
        <f t="shared" si="1"/>
        <v>2.74 (1.31, 5.71)</v>
      </c>
      <c r="L14" s="8">
        <v>7.29374790557814E-3</v>
      </c>
      <c r="M14" s="3" t="str">
        <f t="shared" si="2"/>
        <v>8.25 (1.11, 61.44)</v>
      </c>
      <c r="N14" s="8">
        <v>3.9467668237350498E-2</v>
      </c>
      <c r="O14" s="8"/>
      <c r="P14" s="3" t="str">
        <f t="shared" si="0"/>
        <v>1.00 (1.00, 1.01)</v>
      </c>
      <c r="Q14" s="8">
        <v>0.15664633682903301</v>
      </c>
      <c r="R14" s="3" t="str">
        <f t="shared" si="3"/>
        <v>1.00 (1.00, 1.00)</v>
      </c>
      <c r="S14" s="8">
        <v>0.95463249247187798</v>
      </c>
      <c r="T14" s="8">
        <v>8.2474362158234396</v>
      </c>
      <c r="U14" s="8">
        <v>1.1070713024722201</v>
      </c>
      <c r="V14" s="8">
        <v>61.441574704518899</v>
      </c>
      <c r="W14" s="8">
        <v>0.99990394397862303</v>
      </c>
      <c r="X14" s="8">
        <v>0.99660023122055896</v>
      </c>
      <c r="Y14" s="8">
        <v>1.0032186084881001</v>
      </c>
      <c r="Z14" s="8" t="s">
        <v>9</v>
      </c>
    </row>
    <row r="15" spans="1:26" hidden="1" x14ac:dyDescent="0.25">
      <c r="A15" s="3"/>
      <c r="B15" s="8" t="s">
        <v>68</v>
      </c>
      <c r="C15" s="8"/>
      <c r="D15" s="8">
        <v>1.0768280555095699</v>
      </c>
      <c r="E15" s="8">
        <v>2.89643912418307E-2</v>
      </c>
      <c r="F15" s="8">
        <v>40.033938619703498</v>
      </c>
      <c r="G15" s="8">
        <v>1.0018809705076099</v>
      </c>
      <c r="H15" s="8">
        <v>0.99686755639851599</v>
      </c>
      <c r="I15" s="8">
        <v>1.0069195979169701</v>
      </c>
      <c r="J15" s="8" t="s">
        <v>11</v>
      </c>
      <c r="K15" s="3" t="str">
        <f t="shared" si="1"/>
        <v>1.08 (0.03, 40.03)</v>
      </c>
      <c r="L15" s="8">
        <v>0.96801884483021206</v>
      </c>
      <c r="M15" s="3" t="str">
        <f t="shared" si="2"/>
        <v>1.98 (0.00, 1014.83)</v>
      </c>
      <c r="N15" s="8">
        <v>0.83100635520248001</v>
      </c>
      <c r="O15" s="8"/>
      <c r="P15" s="3" t="str">
        <f t="shared" si="0"/>
        <v>1.00 (1.00, 1.01)</v>
      </c>
      <c r="Q15" s="8">
        <v>0.475852458654207</v>
      </c>
      <c r="R15" s="3" t="str">
        <f t="shared" si="3"/>
        <v>1.00 (0.99, 1.00)</v>
      </c>
      <c r="S15" s="8">
        <v>0.22591671514075901</v>
      </c>
      <c r="T15" s="8">
        <v>1.9769872050762201</v>
      </c>
      <c r="U15" s="8">
        <v>3.85137554549621E-3</v>
      </c>
      <c r="V15" s="8">
        <v>1014.82661528701</v>
      </c>
      <c r="W15" s="8">
        <v>0.99586693196587694</v>
      </c>
      <c r="X15" s="8">
        <v>0.98958518290171904</v>
      </c>
      <c r="Y15" s="8">
        <v>1.00218855669914</v>
      </c>
      <c r="Z15" s="8" t="s">
        <v>9</v>
      </c>
    </row>
    <row r="16" spans="1:26" hidden="1" x14ac:dyDescent="0.25">
      <c r="A16" s="3"/>
      <c r="B16" s="8" t="s">
        <v>66</v>
      </c>
      <c r="C16" s="8"/>
      <c r="D16" s="8">
        <v>1.2068519220173799</v>
      </c>
      <c r="E16" s="8">
        <v>5.8363928661609103E-2</v>
      </c>
      <c r="F16" s="8">
        <v>24.9553379129378</v>
      </c>
      <c r="G16" s="8">
        <v>0.99995325242071198</v>
      </c>
      <c r="H16" s="8">
        <v>0.99658521293743996</v>
      </c>
      <c r="I16" s="8">
        <v>1.00333267446296</v>
      </c>
      <c r="J16" s="8" t="s">
        <v>11</v>
      </c>
      <c r="K16" s="3" t="str">
        <f t="shared" si="1"/>
        <v>1.21 (0.06, 24.96)</v>
      </c>
      <c r="L16" s="8">
        <v>0.90324650035753196</v>
      </c>
      <c r="M16" s="3" t="str">
        <f t="shared" si="2"/>
        <v>1.40 (0.00, 404.22)</v>
      </c>
      <c r="N16" s="8">
        <v>0.90821802386864803</v>
      </c>
      <c r="O16" s="8"/>
      <c r="P16" s="3" t="str">
        <f t="shared" si="0"/>
        <v>1.00 (1.00, 1.00)</v>
      </c>
      <c r="Q16" s="8">
        <v>0.97874630788492101</v>
      </c>
      <c r="R16" s="3" t="str">
        <f t="shared" si="3"/>
        <v>1.00 (1.00, 1.00)</v>
      </c>
      <c r="S16" s="8">
        <v>0.51282148861513299</v>
      </c>
      <c r="T16" s="8">
        <v>1.39701654657695</v>
      </c>
      <c r="U16" s="8">
        <v>4.8282556816120602E-3</v>
      </c>
      <c r="V16" s="8">
        <v>404.21538545327502</v>
      </c>
      <c r="W16" s="8">
        <v>0.99885914706518997</v>
      </c>
      <c r="X16" s="8">
        <v>0.99556014457476605</v>
      </c>
      <c r="Y16" s="8">
        <v>1.00216908150934</v>
      </c>
      <c r="Z16" s="8" t="s">
        <v>9</v>
      </c>
    </row>
    <row r="17" spans="1:26" hidden="1" x14ac:dyDescent="0.25">
      <c r="A17" s="8" t="s">
        <v>12</v>
      </c>
      <c r="B17" s="8" t="s">
        <v>69</v>
      </c>
      <c r="C17" s="8"/>
      <c r="D17" s="8">
        <v>1.6106204257662899</v>
      </c>
      <c r="E17" s="8">
        <v>2.5498411238497401E-2</v>
      </c>
      <c r="F17" s="8">
        <v>101.735678024482</v>
      </c>
      <c r="G17" s="8">
        <v>1.00621370622225</v>
      </c>
      <c r="H17" s="8">
        <v>0.99397903656983599</v>
      </c>
      <c r="I17" s="8">
        <v>1.01859896973629</v>
      </c>
      <c r="J17" s="8" t="s">
        <v>13</v>
      </c>
      <c r="K17" s="3" t="str">
        <f t="shared" si="1"/>
        <v>1.61 (0.03, 101.74)</v>
      </c>
      <c r="L17" s="8">
        <v>0.82400711523188097</v>
      </c>
      <c r="M17" s="3" t="str">
        <f t="shared" si="2"/>
        <v>0.46 (0.02, 12.19)</v>
      </c>
      <c r="N17" s="8">
        <v>0.64420596520997497</v>
      </c>
      <c r="O17" s="8"/>
      <c r="P17" s="3" t="str">
        <f t="shared" si="0"/>
        <v>1.01 (0.99, 1.02)</v>
      </c>
      <c r="Q17" s="8">
        <v>0.34231139327862897</v>
      </c>
      <c r="R17" s="3" t="str">
        <f t="shared" si="3"/>
        <v>1.00 (0.99, 1.01)</v>
      </c>
      <c r="S17" s="8">
        <v>0.85049712555391599</v>
      </c>
      <c r="T17" s="8">
        <v>0.46155298960213398</v>
      </c>
      <c r="U17" s="8">
        <v>1.7478088304784201E-2</v>
      </c>
      <c r="V17" s="8">
        <v>12.1884704148311</v>
      </c>
      <c r="W17" s="8">
        <v>1.0005612335593499</v>
      </c>
      <c r="X17" s="8">
        <v>0.99488877742591397</v>
      </c>
      <c r="Y17" s="8">
        <v>1.0062660317588801</v>
      </c>
      <c r="Z17" s="8" t="s">
        <v>38</v>
      </c>
    </row>
    <row r="18" spans="1:26" hidden="1" x14ac:dyDescent="0.25">
      <c r="A18" s="3"/>
      <c r="B18" s="8" t="s">
        <v>66</v>
      </c>
      <c r="C18" s="8"/>
      <c r="D18" s="8">
        <v>0.59572889241331795</v>
      </c>
      <c r="E18" s="8">
        <v>0.13154666027981399</v>
      </c>
      <c r="F18" s="8">
        <v>2.6978481437772901</v>
      </c>
      <c r="G18" s="8">
        <v>1.0011562777359</v>
      </c>
      <c r="H18" s="8">
        <v>0.99146686002484696</v>
      </c>
      <c r="I18" s="8">
        <v>1.01094038828981</v>
      </c>
      <c r="J18" s="8" t="s">
        <v>13</v>
      </c>
      <c r="K18" s="3" t="str">
        <f t="shared" si="1"/>
        <v>0.60 (0.13, 2.70)</v>
      </c>
      <c r="L18" s="8">
        <v>0.50149289950747</v>
      </c>
      <c r="M18" s="3" t="str">
        <f t="shared" si="2"/>
        <v>0.38 (0.10, 1.48)</v>
      </c>
      <c r="N18" s="8">
        <v>0.161325137801652</v>
      </c>
      <c r="O18" s="8"/>
      <c r="P18" s="3" t="str">
        <f t="shared" si="0"/>
        <v>1.00 (0.99, 1.01)</v>
      </c>
      <c r="Q18" s="8">
        <v>0.81584244984310805</v>
      </c>
      <c r="R18" s="3" t="str">
        <f t="shared" si="3"/>
        <v>1.00 (1.00, 1.00)</v>
      </c>
      <c r="S18" s="8">
        <v>0.928226069069232</v>
      </c>
      <c r="T18" s="8">
        <v>0.37540166991645602</v>
      </c>
      <c r="U18" s="8">
        <v>9.5292400903360594E-2</v>
      </c>
      <c r="V18" s="8">
        <v>1.47888407092379</v>
      </c>
      <c r="W18" s="8">
        <v>0.99978549603040101</v>
      </c>
      <c r="X18" s="8">
        <v>0.99512944284497395</v>
      </c>
      <c r="Y18" s="8">
        <v>1.0044633341518701</v>
      </c>
      <c r="Z18" s="8" t="s">
        <v>38</v>
      </c>
    </row>
    <row r="19" spans="1:26" x14ac:dyDescent="0.25">
      <c r="A19" s="8" t="s">
        <v>12</v>
      </c>
      <c r="B19" s="8" t="s">
        <v>67</v>
      </c>
      <c r="C19" s="8"/>
      <c r="D19" s="8">
        <v>1.0338474750058899</v>
      </c>
      <c r="E19" s="8">
        <v>0.34607477247206903</v>
      </c>
      <c r="F19" s="8">
        <v>3.0884672521523102</v>
      </c>
      <c r="G19" s="8">
        <v>1.0025203519493699</v>
      </c>
      <c r="H19" s="8">
        <v>0.99553562127309703</v>
      </c>
      <c r="I19" s="8">
        <v>1.0095540878662199</v>
      </c>
      <c r="J19" s="8" t="s">
        <v>13</v>
      </c>
      <c r="K19" s="3" t="str">
        <f t="shared" si="1"/>
        <v>1.03 (0.35, 3.09)</v>
      </c>
      <c r="L19" s="8">
        <v>0.95246147117806701</v>
      </c>
      <c r="M19" s="3" t="str">
        <f t="shared" si="2"/>
        <v>0.53 (0.22, 1.27)</v>
      </c>
      <c r="N19" s="8">
        <v>0.15404379508754201</v>
      </c>
      <c r="O19" s="8"/>
      <c r="P19" s="3" t="str">
        <f t="shared" si="0"/>
        <v>1.00 (1.00, 1.01)</v>
      </c>
      <c r="Q19" s="8">
        <v>0.48039831889656898</v>
      </c>
      <c r="R19" s="3" t="str">
        <f t="shared" si="3"/>
        <v>1.00 (1.00, 1.00)</v>
      </c>
      <c r="S19" s="8">
        <v>0.74779151641835495</v>
      </c>
      <c r="T19" s="8">
        <v>0.533281433249989</v>
      </c>
      <c r="U19" s="8">
        <v>0.22464938822191299</v>
      </c>
      <c r="V19" s="8">
        <v>1.2659241554142899</v>
      </c>
      <c r="W19" s="8">
        <v>1.0005351630781001</v>
      </c>
      <c r="X19" s="8">
        <v>0.99727756014271096</v>
      </c>
      <c r="Y19" s="8">
        <v>1.0038034069597099</v>
      </c>
      <c r="Z19" s="8" t="s">
        <v>38</v>
      </c>
    </row>
    <row r="20" spans="1:26" hidden="1" x14ac:dyDescent="0.25">
      <c r="A20" s="3"/>
      <c r="B20" s="8" t="s">
        <v>68</v>
      </c>
      <c r="C20" s="8"/>
      <c r="D20" s="8">
        <v>0.45848924525028301</v>
      </c>
      <c r="E20" s="8">
        <v>2.99919018738651E-2</v>
      </c>
      <c r="F20" s="8">
        <v>7.0089715848714702</v>
      </c>
      <c r="G20" s="8">
        <v>0.99796294006785602</v>
      </c>
      <c r="H20" s="8">
        <v>0.98485317095203095</v>
      </c>
      <c r="I20" s="8">
        <v>1.01124721849262</v>
      </c>
      <c r="J20" s="8" t="s">
        <v>13</v>
      </c>
      <c r="K20" s="3" t="str">
        <f t="shared" si="1"/>
        <v>0.46 (0.03, 7.01)</v>
      </c>
      <c r="L20" s="8">
        <v>0.58108066436248595</v>
      </c>
      <c r="M20" s="3" t="str">
        <f t="shared" si="2"/>
        <v>0.13 (0.00, 4.09)</v>
      </c>
      <c r="N20" s="8">
        <v>0.25118940174530802</v>
      </c>
      <c r="O20" s="8"/>
      <c r="P20" s="3" t="str">
        <f t="shared" si="0"/>
        <v>1.00 (0.98, 1.01)</v>
      </c>
      <c r="Q20" s="8">
        <v>0.76764271469496703</v>
      </c>
      <c r="R20" s="3" t="str">
        <f t="shared" si="3"/>
        <v>1.00 (1.00, 1.01)</v>
      </c>
      <c r="S20" s="8">
        <v>0.378750013805075</v>
      </c>
      <c r="T20" s="8">
        <v>0.134059220191866</v>
      </c>
      <c r="U20" s="8">
        <v>4.3975615019665997E-3</v>
      </c>
      <c r="V20" s="8">
        <v>4.0867818472610704</v>
      </c>
      <c r="W20" s="8">
        <v>1.0036841905007801</v>
      </c>
      <c r="X20" s="8">
        <v>0.99582702305362503</v>
      </c>
      <c r="Y20" s="8">
        <v>1.0116033517268299</v>
      </c>
      <c r="Z20" s="8" t="s">
        <v>38</v>
      </c>
    </row>
    <row r="21" spans="1:26" hidden="1" x14ac:dyDescent="0.25">
      <c r="A21" s="3"/>
      <c r="B21" s="8" t="s">
        <v>66</v>
      </c>
      <c r="C21" s="8"/>
      <c r="D21" s="8">
        <v>0.72331736776420796</v>
      </c>
      <c r="E21" s="8">
        <v>7.4406449283607595E-2</v>
      </c>
      <c r="F21" s="8">
        <v>7.0314874523196096</v>
      </c>
      <c r="G21" s="8">
        <v>1.0016718878576201</v>
      </c>
      <c r="H21" s="8">
        <v>0.991253175378772</v>
      </c>
      <c r="I21" s="8">
        <v>1.01220010774832</v>
      </c>
      <c r="J21" s="8" t="s">
        <v>13</v>
      </c>
      <c r="K21" s="3" t="str">
        <f t="shared" si="1"/>
        <v>0.72 (0.07, 7.03)</v>
      </c>
      <c r="L21" s="8">
        <v>0.78286514607034396</v>
      </c>
      <c r="M21" s="3" t="str">
        <f t="shared" si="2"/>
        <v>0.28 (0.01, 5.33)</v>
      </c>
      <c r="N21" s="8">
        <v>0.39764463022915097</v>
      </c>
      <c r="O21" s="8"/>
      <c r="P21" s="3" t="str">
        <f t="shared" si="0"/>
        <v>1.00 (0.99, 1.01)</v>
      </c>
      <c r="Q21" s="8">
        <v>0.75954739355247403</v>
      </c>
      <c r="R21" s="3" t="str">
        <f t="shared" si="3"/>
        <v>1.00 (0.99, 1.00)</v>
      </c>
      <c r="S21" s="8">
        <v>0.96454607547404903</v>
      </c>
      <c r="T21" s="8">
        <v>0.27877929054252898</v>
      </c>
      <c r="U21" s="8">
        <v>1.45883414198964E-2</v>
      </c>
      <c r="V21" s="8">
        <v>5.3273974469366001</v>
      </c>
      <c r="W21" s="8">
        <v>0.99988395007987396</v>
      </c>
      <c r="X21" s="8">
        <v>0.99489458198699199</v>
      </c>
      <c r="Y21" s="8">
        <v>1.00489833971214</v>
      </c>
      <c r="Z21" s="8" t="s">
        <v>38</v>
      </c>
    </row>
    <row r="22" spans="1:26" hidden="1" x14ac:dyDescent="0.25">
      <c r="A22" s="3" t="s">
        <v>39</v>
      </c>
      <c r="B22" s="8" t="s">
        <v>69</v>
      </c>
      <c r="C22" s="8"/>
      <c r="D22" s="8">
        <v>1.62707953919129</v>
      </c>
      <c r="E22" s="8">
        <v>0.78064581031948999</v>
      </c>
      <c r="F22" s="8">
        <v>3.3912791074501198</v>
      </c>
      <c r="G22" s="8">
        <v>1.00382590534337</v>
      </c>
      <c r="H22" s="8">
        <v>0.99508403350269103</v>
      </c>
      <c r="I22" s="8">
        <v>1.01264457504304</v>
      </c>
      <c r="J22" s="8" t="s">
        <v>40</v>
      </c>
      <c r="K22" s="3" t="str">
        <f t="shared" si="1"/>
        <v>1.63 (0.78, 3.39)</v>
      </c>
      <c r="L22" s="8">
        <v>0.194352885683199</v>
      </c>
      <c r="M22" s="3" t="str">
        <f t="shared" si="2"/>
        <v>1.42 (0.70, 2.86)</v>
      </c>
      <c r="N22" s="8">
        <v>0.33147930396420999</v>
      </c>
      <c r="O22" s="8"/>
      <c r="P22" s="3" t="str">
        <f t="shared" si="0"/>
        <v>1.00 (1.00, 1.01)</v>
      </c>
      <c r="Q22" s="8">
        <v>0.41042064618926599</v>
      </c>
      <c r="R22" s="3" t="str">
        <f t="shared" si="3"/>
        <v>1.00 (0.99, 1.01)</v>
      </c>
      <c r="S22" s="8">
        <v>0.70229743040841797</v>
      </c>
      <c r="T22" s="8">
        <v>1.41708925706779</v>
      </c>
      <c r="U22" s="8">
        <v>0.70155075299588798</v>
      </c>
      <c r="V22" s="8">
        <v>2.8624329086975</v>
      </c>
      <c r="W22" s="8">
        <v>1.00173357248367</v>
      </c>
      <c r="X22" s="8">
        <v>0.99308446988861099</v>
      </c>
      <c r="Y22" s="8">
        <v>1.01045800298684</v>
      </c>
      <c r="Z22" s="8" t="s">
        <v>41</v>
      </c>
    </row>
    <row r="23" spans="1:26" hidden="1" x14ac:dyDescent="0.25">
      <c r="A23" s="3"/>
      <c r="B23" s="8" t="s">
        <v>66</v>
      </c>
      <c r="C23" s="8"/>
      <c r="D23" s="8">
        <v>1.41000406680589</v>
      </c>
      <c r="E23" s="8">
        <v>0.89250795114539505</v>
      </c>
      <c r="F23" s="8">
        <v>2.22755603001375</v>
      </c>
      <c r="G23" s="8">
        <v>1.0032746302674</v>
      </c>
      <c r="H23" s="8">
        <v>0.99872072453640004</v>
      </c>
      <c r="I23" s="8">
        <v>1.00784930061947</v>
      </c>
      <c r="J23" s="8" t="s">
        <v>40</v>
      </c>
      <c r="K23" s="3" t="str">
        <f t="shared" si="1"/>
        <v>1.41 (0.89, 2.23)</v>
      </c>
      <c r="L23" s="8">
        <v>0.14085705638726001</v>
      </c>
      <c r="M23" s="3" t="str">
        <f t="shared" si="2"/>
        <v>1.63 (1.02, 2.61)</v>
      </c>
      <c r="N23" s="8">
        <v>4.0759944623702297E-2</v>
      </c>
      <c r="O23" s="8"/>
      <c r="P23" s="3" t="str">
        <f t="shared" si="0"/>
        <v>1.00 (1.00, 1.01)</v>
      </c>
      <c r="Q23" s="8">
        <v>0.15898338587798599</v>
      </c>
      <c r="R23" s="3" t="str">
        <f t="shared" si="3"/>
        <v>1.00 (1.00, 1.01)</v>
      </c>
      <c r="S23" s="8">
        <v>0.66138941372187499</v>
      </c>
      <c r="T23" s="8">
        <v>1.63204241415502</v>
      </c>
      <c r="U23" s="8">
        <v>1.02079415040531</v>
      </c>
      <c r="V23" s="8">
        <v>2.6093041780689701</v>
      </c>
      <c r="W23" s="8">
        <v>1.00106184001883</v>
      </c>
      <c r="X23" s="8">
        <v>0.99631892972818403</v>
      </c>
      <c r="Y23" s="8">
        <v>1.00582732861984</v>
      </c>
      <c r="Z23" s="8" t="s">
        <v>41</v>
      </c>
    </row>
    <row r="24" spans="1:26" x14ac:dyDescent="0.25">
      <c r="A24" s="3" t="s">
        <v>39</v>
      </c>
      <c r="B24" s="8" t="s">
        <v>67</v>
      </c>
      <c r="C24" s="8"/>
      <c r="D24" s="8">
        <v>1.5835897706872399</v>
      </c>
      <c r="E24" s="8">
        <v>1.1965383120971</v>
      </c>
      <c r="F24" s="8">
        <v>2.09584309710075</v>
      </c>
      <c r="G24" s="8">
        <v>1.0001188302949999</v>
      </c>
      <c r="H24" s="8">
        <v>0.99459535596130999</v>
      </c>
      <c r="I24" s="8">
        <v>1.0056729791824499</v>
      </c>
      <c r="J24" s="8" t="s">
        <v>40</v>
      </c>
      <c r="K24" s="3" t="str">
        <f t="shared" si="1"/>
        <v>1.58 (1.20, 2.10)</v>
      </c>
      <c r="L24" s="8">
        <v>1.3050996781482701E-3</v>
      </c>
      <c r="M24" s="3" t="str">
        <f t="shared" si="2"/>
        <v>1.60 (1.21, 2.10)</v>
      </c>
      <c r="N24" s="8">
        <v>8.4793163642651903E-4</v>
      </c>
      <c r="O24" s="8"/>
      <c r="P24" s="3" t="str">
        <f t="shared" si="0"/>
        <v>1.00 (0.99, 1.01)</v>
      </c>
      <c r="Q24" s="8">
        <v>0.96645662576398195</v>
      </c>
      <c r="R24" s="3" t="str">
        <f t="shared" si="3"/>
        <v>1.00 (0.99, 1.01)</v>
      </c>
      <c r="S24" s="8">
        <v>0.92798842576364504</v>
      </c>
      <c r="T24" s="8">
        <v>1.59687864177869</v>
      </c>
      <c r="U24" s="8">
        <v>1.21301734573999</v>
      </c>
      <c r="V24" s="8">
        <v>2.1022134642380701</v>
      </c>
      <c r="W24" s="8">
        <v>0.99975476409483099</v>
      </c>
      <c r="X24" s="8">
        <v>0.994451060835849</v>
      </c>
      <c r="Y24" s="8">
        <v>1.0050867535806201</v>
      </c>
      <c r="Z24" s="8" t="s">
        <v>41</v>
      </c>
    </row>
    <row r="25" spans="1:26" hidden="1" x14ac:dyDescent="0.25">
      <c r="A25" s="3"/>
      <c r="B25" s="8" t="s">
        <v>68</v>
      </c>
      <c r="C25" s="8"/>
      <c r="D25" s="8">
        <v>1.11521168103937</v>
      </c>
      <c r="E25" s="8">
        <v>0.24209417432609501</v>
      </c>
      <c r="F25" s="8">
        <v>5.1372450286698399</v>
      </c>
      <c r="G25" s="8">
        <v>0.99675060787964997</v>
      </c>
      <c r="H25" s="8">
        <v>0.98789176602187601</v>
      </c>
      <c r="I25" s="8">
        <v>1.0056888907063199</v>
      </c>
      <c r="J25" s="8" t="s">
        <v>40</v>
      </c>
      <c r="K25" s="3" t="str">
        <f t="shared" si="1"/>
        <v>1.12 (0.24, 5.14)</v>
      </c>
      <c r="L25" s="8">
        <v>0.888764159694305</v>
      </c>
      <c r="M25" s="3" t="str">
        <f t="shared" si="2"/>
        <v>2.13 (0.39, 11.47)</v>
      </c>
      <c r="N25" s="8">
        <v>0.38029996353996298</v>
      </c>
      <c r="O25" s="8"/>
      <c r="P25" s="3" t="str">
        <f t="shared" si="0"/>
        <v>1.00 (0.99, 1.01)</v>
      </c>
      <c r="Q25" s="8">
        <v>0.48855055311805501</v>
      </c>
      <c r="R25" s="3" t="str">
        <f t="shared" si="3"/>
        <v>1.00 (0.99, 1.01)</v>
      </c>
      <c r="S25" s="8">
        <v>0.67918646186928699</v>
      </c>
      <c r="T25" s="8">
        <v>2.1268380437069299</v>
      </c>
      <c r="U25" s="8">
        <v>0.394501110412804</v>
      </c>
      <c r="V25" s="8">
        <v>11.466228978229701</v>
      </c>
      <c r="W25" s="8">
        <v>0.99827091222373099</v>
      </c>
      <c r="X25" s="8">
        <v>0.99029859286342403</v>
      </c>
      <c r="Y25" s="8">
        <v>1.00630741210135</v>
      </c>
      <c r="Z25" s="8" t="s">
        <v>41</v>
      </c>
    </row>
    <row r="26" spans="1:26" hidden="1" x14ac:dyDescent="0.25">
      <c r="A26" s="3"/>
      <c r="B26" s="8" t="s">
        <v>66</v>
      </c>
      <c r="C26" s="8"/>
      <c r="D26" s="8">
        <v>1.7307859260820899</v>
      </c>
      <c r="E26" s="8">
        <v>0.65872674820040999</v>
      </c>
      <c r="F26" s="8">
        <v>4.5475911371560898</v>
      </c>
      <c r="G26" s="8">
        <v>1.00344562512711</v>
      </c>
      <c r="H26" s="8">
        <v>0.99900334025487902</v>
      </c>
      <c r="I26" s="8">
        <v>1.00790766358183</v>
      </c>
      <c r="J26" s="8" t="s">
        <v>40</v>
      </c>
      <c r="K26" s="3" t="str">
        <f t="shared" si="1"/>
        <v>1.73 (0.66, 4.55)</v>
      </c>
      <c r="L26" s="8">
        <v>0.26609921119581798</v>
      </c>
      <c r="M26" s="3" t="str">
        <f t="shared" si="2"/>
        <v>2.43 (0.95, 6.26)</v>
      </c>
      <c r="N26" s="8">
        <v>6.5610484029787294E-2</v>
      </c>
      <c r="O26" s="8"/>
      <c r="P26" s="3" t="str">
        <f t="shared" si="0"/>
        <v>1.00 (1.00, 1.01)</v>
      </c>
      <c r="Q26" s="8">
        <v>0.154536356641158</v>
      </c>
      <c r="R26" s="3" t="str">
        <f t="shared" si="3"/>
        <v>1.00 (1.00, 1.01)</v>
      </c>
      <c r="S26" s="8">
        <v>0.44648528661569797</v>
      </c>
      <c r="T26" s="8">
        <v>2.4332973384272201</v>
      </c>
      <c r="U26" s="8">
        <v>0.94562543164045798</v>
      </c>
      <c r="V26" s="8">
        <v>6.2613966789423499</v>
      </c>
      <c r="W26" s="8">
        <v>1.0017871753704299</v>
      </c>
      <c r="X26" s="8">
        <v>0.997331273317422</v>
      </c>
      <c r="Y26" s="8">
        <v>1.0062629856160701</v>
      </c>
      <c r="Z26" s="8" t="s">
        <v>41</v>
      </c>
    </row>
    <row r="27" spans="1:26" hidden="1" x14ac:dyDescent="0.25">
      <c r="A27" s="8" t="s">
        <v>42</v>
      </c>
      <c r="B27" s="8" t="s">
        <v>69</v>
      </c>
      <c r="C27" s="8"/>
      <c r="D27" s="8">
        <v>0.89653396720725298</v>
      </c>
      <c r="E27" s="8">
        <v>0.63770650128093298</v>
      </c>
      <c r="F27" s="8">
        <v>1.2604123570041601</v>
      </c>
      <c r="G27" s="8">
        <v>1.0005112657294399</v>
      </c>
      <c r="H27" s="8">
        <v>0.99055027883462898</v>
      </c>
      <c r="I27" s="8">
        <v>1.01057242044211</v>
      </c>
      <c r="J27" s="8" t="s">
        <v>43</v>
      </c>
      <c r="K27" s="3" t="str">
        <f t="shared" si="1"/>
        <v>0.90 (0.64, 1.26)</v>
      </c>
      <c r="L27" s="8">
        <v>0.53002450083345398</v>
      </c>
      <c r="M27" s="3" t="str">
        <f t="shared" si="2"/>
        <v>0.84 (0.58, 1.23)</v>
      </c>
      <c r="N27" s="8">
        <v>0.377404667301524</v>
      </c>
      <c r="O27" s="8"/>
      <c r="P27" s="3" t="str">
        <f t="shared" si="0"/>
        <v>1.00 (0.99, 1.01)</v>
      </c>
      <c r="Q27" s="8">
        <v>0.92204699714859495</v>
      </c>
      <c r="R27" s="3" t="str">
        <f t="shared" si="3"/>
        <v>1.00 (0.98, 1.02)</v>
      </c>
      <c r="S27" s="8">
        <v>0.95896004932491397</v>
      </c>
      <c r="T27" s="8">
        <v>0.844029485131918</v>
      </c>
      <c r="U27" s="8">
        <v>0.57943384877974402</v>
      </c>
      <c r="V27" s="8">
        <v>1.2294514262021401</v>
      </c>
      <c r="W27" s="8">
        <v>1.00043076784549</v>
      </c>
      <c r="X27" s="8">
        <v>0.98451699319035602</v>
      </c>
      <c r="Y27" s="8">
        <v>1.01660177343267</v>
      </c>
      <c r="Z27" s="8" t="s">
        <v>44</v>
      </c>
    </row>
    <row r="28" spans="1:26" hidden="1" x14ac:dyDescent="0.25">
      <c r="A28" s="3"/>
      <c r="B28" s="8" t="s">
        <v>66</v>
      </c>
      <c r="C28" s="8"/>
      <c r="D28" s="8">
        <v>0.80310130164432803</v>
      </c>
      <c r="E28" s="8">
        <v>0.54567540401070602</v>
      </c>
      <c r="F28" s="8">
        <v>1.18196952980156</v>
      </c>
      <c r="G28" s="8">
        <v>0.99757368896280496</v>
      </c>
      <c r="H28" s="8">
        <v>0.99334713116504603</v>
      </c>
      <c r="I28" s="8">
        <v>1.0018182301928</v>
      </c>
      <c r="J28" s="8" t="s">
        <v>43</v>
      </c>
      <c r="K28" s="3" t="str">
        <f t="shared" si="1"/>
        <v>0.80 (0.55, 1.18)</v>
      </c>
      <c r="L28" s="8">
        <v>0.26609568867872302</v>
      </c>
      <c r="M28" s="3" t="str">
        <f t="shared" si="2"/>
        <v>0.81 (0.54, 1.23)</v>
      </c>
      <c r="N28" s="8">
        <v>0.318991271358121</v>
      </c>
      <c r="O28" s="8"/>
      <c r="P28" s="3" t="str">
        <f t="shared" si="0"/>
        <v>1.00 (0.99, 1.00)</v>
      </c>
      <c r="Q28" s="8">
        <v>0.26211113075311099</v>
      </c>
      <c r="R28" s="3" t="str">
        <f t="shared" si="3"/>
        <v>1.00 (0.99, 1.00)</v>
      </c>
      <c r="S28" s="8">
        <v>0.35748605446576998</v>
      </c>
      <c r="T28" s="8">
        <v>0.81030289193091398</v>
      </c>
      <c r="U28" s="8">
        <v>0.53576375533450704</v>
      </c>
      <c r="V28" s="8">
        <v>1.22552294763138</v>
      </c>
      <c r="W28" s="8">
        <v>0.99734648488421995</v>
      </c>
      <c r="X28" s="8">
        <v>0.99171781217952704</v>
      </c>
      <c r="Y28" s="8">
        <v>1.0030071041326001</v>
      </c>
      <c r="Z28" s="8" t="s">
        <v>44</v>
      </c>
    </row>
    <row r="29" spans="1:26" x14ac:dyDescent="0.25">
      <c r="A29" s="8" t="s">
        <v>42</v>
      </c>
      <c r="B29" s="8" t="s">
        <v>67</v>
      </c>
      <c r="C29" s="8"/>
      <c r="D29" s="8">
        <v>0.77421895323927103</v>
      </c>
      <c r="E29" s="8">
        <v>0.61621846543839798</v>
      </c>
      <c r="F29" s="8">
        <v>0.97273129770375999</v>
      </c>
      <c r="G29" s="8">
        <v>0.99455066411989401</v>
      </c>
      <c r="H29" s="8">
        <v>0.987989124800709</v>
      </c>
      <c r="I29" s="8">
        <v>1.0011557806376099</v>
      </c>
      <c r="J29" s="8" t="s">
        <v>43</v>
      </c>
      <c r="K29" s="3" t="str">
        <f t="shared" si="1"/>
        <v>0.77 (0.62, 0.97)</v>
      </c>
      <c r="L29" s="8">
        <v>2.7991394371334799E-2</v>
      </c>
      <c r="M29" s="3" t="str">
        <f t="shared" si="2"/>
        <v>0.78 (0.60, 0.99)</v>
      </c>
      <c r="N29" s="8">
        <v>4.4813758803385201E-2</v>
      </c>
      <c r="O29" s="8"/>
      <c r="P29" s="3" t="str">
        <f t="shared" si="0"/>
        <v>0.99 (0.99, 1.00)</v>
      </c>
      <c r="Q29" s="8">
        <v>0.10566923739761699</v>
      </c>
      <c r="R29" s="3" t="str">
        <f t="shared" si="3"/>
        <v>0.99 (0.99, 1.00)</v>
      </c>
      <c r="S29" s="8">
        <v>0.1981492299915</v>
      </c>
      <c r="T29" s="8">
        <v>0.77523347455548897</v>
      </c>
      <c r="U29" s="8">
        <v>0.60453567091444305</v>
      </c>
      <c r="V29" s="8">
        <v>0.99412982390650695</v>
      </c>
      <c r="W29" s="8">
        <v>0.99430262032204797</v>
      </c>
      <c r="X29" s="8">
        <v>0.98568720505331098</v>
      </c>
      <c r="Y29" s="8">
        <v>1.0029933387700001</v>
      </c>
      <c r="Z29" s="8" t="s">
        <v>44</v>
      </c>
    </row>
    <row r="30" spans="1:26" hidden="1" x14ac:dyDescent="0.25">
      <c r="A30" s="3"/>
      <c r="B30" s="8" t="s">
        <v>68</v>
      </c>
      <c r="C30" s="8"/>
      <c r="D30" s="8">
        <v>0.54085766979031002</v>
      </c>
      <c r="E30" s="8">
        <v>0.23617339001026499</v>
      </c>
      <c r="F30" s="8">
        <v>1.2386112548847701</v>
      </c>
      <c r="G30" s="8">
        <v>0.99796962054198002</v>
      </c>
      <c r="H30" s="8">
        <v>0.99241112591256997</v>
      </c>
      <c r="I30" s="8">
        <v>1.0035592482993201</v>
      </c>
      <c r="J30" s="8" t="s">
        <v>43</v>
      </c>
      <c r="K30" s="3" t="str">
        <f t="shared" si="1"/>
        <v>0.54 (0.24, 1.24)</v>
      </c>
      <c r="L30" s="8">
        <v>0.14661462006802101</v>
      </c>
      <c r="M30" s="3" t="str">
        <f t="shared" si="2"/>
        <v>0.62 (0.27, 1.42)</v>
      </c>
      <c r="N30" s="8">
        <v>0.25833957901444499</v>
      </c>
      <c r="O30" s="8"/>
      <c r="P30" s="3" t="str">
        <f t="shared" si="0"/>
        <v>1.00 (0.99, 1.00)</v>
      </c>
      <c r="Q30" s="8">
        <v>0.48934924423891502</v>
      </c>
      <c r="R30" s="3" t="str">
        <f t="shared" si="3"/>
        <v>1.00 (0.99, 1.00)</v>
      </c>
      <c r="S30" s="8">
        <v>0.37175966740412902</v>
      </c>
      <c r="T30" s="8">
        <v>0.61797724486822503</v>
      </c>
      <c r="U30" s="8">
        <v>0.268529603543049</v>
      </c>
      <c r="V30" s="8">
        <v>1.4221742040210399</v>
      </c>
      <c r="W30" s="8">
        <v>0.99591692724301994</v>
      </c>
      <c r="X30" s="8">
        <v>0.98734675560847196</v>
      </c>
      <c r="Y30" s="8">
        <v>1.0045614879829401</v>
      </c>
      <c r="Z30" s="8" t="s">
        <v>44</v>
      </c>
    </row>
    <row r="31" spans="1:26" hidden="1" x14ac:dyDescent="0.25">
      <c r="A31" s="3"/>
      <c r="B31" s="8" t="s">
        <v>66</v>
      </c>
      <c r="C31" s="8"/>
      <c r="D31" s="8">
        <v>0.71339105843861494</v>
      </c>
      <c r="E31" s="8">
        <v>0.495692218666693</v>
      </c>
      <c r="F31" s="8">
        <v>1.02669919578135</v>
      </c>
      <c r="G31" s="8">
        <v>0.99811197820778597</v>
      </c>
      <c r="H31" s="8">
        <v>0.994280079020331</v>
      </c>
      <c r="I31" s="8">
        <v>1.0019586453179801</v>
      </c>
      <c r="J31" s="8" t="s">
        <v>43</v>
      </c>
      <c r="K31" s="3" t="str">
        <f t="shared" si="1"/>
        <v>0.71 (0.50, 1.03)</v>
      </c>
      <c r="L31" s="8">
        <v>6.9628877983323595E-2</v>
      </c>
      <c r="M31" s="3" t="str">
        <f t="shared" si="2"/>
        <v>0.74 (0.50, 1.08)</v>
      </c>
      <c r="N31" s="8">
        <v>0.114866568535203</v>
      </c>
      <c r="O31" s="8"/>
      <c r="P31" s="3" t="str">
        <f t="shared" si="0"/>
        <v>1.00 (0.99, 1.00)</v>
      </c>
      <c r="Q31" s="8">
        <v>0.35457682025197601</v>
      </c>
      <c r="R31" s="3" t="str">
        <f t="shared" si="3"/>
        <v>1.00 (0.99, 1.00)</v>
      </c>
      <c r="S31" s="8">
        <v>0.37465209720223103</v>
      </c>
      <c r="T31" s="8">
        <v>0.73692357585877399</v>
      </c>
      <c r="U31" s="8">
        <v>0.50459826056879598</v>
      </c>
      <c r="V31" s="8">
        <v>1.0762152767715401</v>
      </c>
      <c r="W31" s="8">
        <v>0.99734440257462198</v>
      </c>
      <c r="X31" s="8">
        <v>0.99172301492193105</v>
      </c>
      <c r="Y31" s="8">
        <v>1.0029976539621099</v>
      </c>
      <c r="Z31" s="8" t="s">
        <v>44</v>
      </c>
    </row>
    <row r="32" spans="1:26" hidden="1" x14ac:dyDescent="0.25">
      <c r="A32" s="8" t="s">
        <v>45</v>
      </c>
      <c r="B32" s="8" t="s">
        <v>69</v>
      </c>
      <c r="C32" s="8"/>
      <c r="D32" s="8">
        <v>1.5854981691485699</v>
      </c>
      <c r="E32" s="8">
        <v>0.57432205677633597</v>
      </c>
      <c r="F32" s="8">
        <v>4.3769944314578799</v>
      </c>
      <c r="G32" s="8">
        <v>0.99643708904969797</v>
      </c>
      <c r="H32" s="8">
        <v>0.98928731476371901</v>
      </c>
      <c r="I32" s="8">
        <v>1.00363853616275</v>
      </c>
      <c r="J32" s="8" t="s">
        <v>46</v>
      </c>
      <c r="K32" s="3" t="str">
        <f t="shared" si="1"/>
        <v>1.59 (0.57, 4.38)</v>
      </c>
      <c r="L32" s="8">
        <v>0.375551531082918</v>
      </c>
      <c r="M32" s="3" t="str">
        <f t="shared" si="2"/>
        <v>1.11 (0.56, 2.21)</v>
      </c>
      <c r="N32" s="8">
        <v>0.75540383175912396</v>
      </c>
      <c r="O32" s="8"/>
      <c r="P32" s="3" t="str">
        <f t="shared" si="0"/>
        <v>1.00 (0.99, 1.00)</v>
      </c>
      <c r="Q32" s="8">
        <v>0.34904225708134001</v>
      </c>
      <c r="R32" s="3" t="str">
        <f t="shared" si="3"/>
        <v>0.99 (0.99, 1.00)</v>
      </c>
      <c r="S32" s="8">
        <v>0.23441143028714201</v>
      </c>
      <c r="T32" s="8">
        <v>1.1147898207407101</v>
      </c>
      <c r="U32" s="8">
        <v>0.56324248109273001</v>
      </c>
      <c r="V32" s="8">
        <v>2.2064321959807902</v>
      </c>
      <c r="W32" s="8">
        <v>0.99461081225021897</v>
      </c>
      <c r="X32" s="8">
        <v>0.98627266740889497</v>
      </c>
      <c r="Y32" s="8">
        <v>1.0030194494226099</v>
      </c>
      <c r="Z32" s="8" t="s">
        <v>47</v>
      </c>
    </row>
    <row r="33" spans="1:26" hidden="1" x14ac:dyDescent="0.25">
      <c r="A33" s="3"/>
      <c r="B33" s="8" t="s">
        <v>66</v>
      </c>
      <c r="C33" s="8"/>
      <c r="D33" s="8">
        <v>1.0570790668055601</v>
      </c>
      <c r="E33" s="8">
        <v>0.44438681856469903</v>
      </c>
      <c r="F33" s="8">
        <v>2.5145123725487499</v>
      </c>
      <c r="G33" s="8">
        <v>1.0008047073225901</v>
      </c>
      <c r="H33" s="8">
        <v>0.995897342377279</v>
      </c>
      <c r="I33" s="8">
        <v>1.00573625370677</v>
      </c>
      <c r="J33" s="8" t="s">
        <v>46</v>
      </c>
      <c r="K33" s="3" t="str">
        <f t="shared" si="1"/>
        <v>1.06 (0.44, 2.51)</v>
      </c>
      <c r="L33" s="8">
        <v>0.90008737008371098</v>
      </c>
      <c r="M33" s="3" t="str">
        <f t="shared" si="2"/>
        <v>1.16 (0.53, 2.53)</v>
      </c>
      <c r="N33" s="8">
        <v>0.70598726877474605</v>
      </c>
      <c r="O33" s="8"/>
      <c r="P33" s="3" t="str">
        <f t="shared" si="0"/>
        <v>1.00 (1.00, 1.01)</v>
      </c>
      <c r="Q33" s="8">
        <v>0.748407288712443</v>
      </c>
      <c r="R33" s="3" t="str">
        <f t="shared" si="3"/>
        <v>1.00 (0.99, 1.00)</v>
      </c>
      <c r="S33" s="8">
        <v>0.75114503599781002</v>
      </c>
      <c r="T33" s="8">
        <v>1.1616440314888901</v>
      </c>
      <c r="U33" s="8">
        <v>0.53331897509167103</v>
      </c>
      <c r="V33" s="8">
        <v>2.53022472275961</v>
      </c>
      <c r="W33" s="8">
        <v>0.99914564198733302</v>
      </c>
      <c r="X33" s="8">
        <v>0.99388151239981204</v>
      </c>
      <c r="Y33" s="8">
        <v>1.00443765322872</v>
      </c>
      <c r="Z33" s="8" t="s">
        <v>47</v>
      </c>
    </row>
    <row r="34" spans="1:26" x14ac:dyDescent="0.25">
      <c r="A34" s="8" t="s">
        <v>45</v>
      </c>
      <c r="B34" s="8" t="s">
        <v>67</v>
      </c>
      <c r="C34" s="8"/>
      <c r="D34" s="8">
        <v>0.88075541029469795</v>
      </c>
      <c r="E34" s="8">
        <v>0.48658580973198501</v>
      </c>
      <c r="F34" s="8">
        <v>1.5942308165350301</v>
      </c>
      <c r="G34" s="8">
        <v>0.99955321608564796</v>
      </c>
      <c r="H34" s="8">
        <v>0.99594941281347005</v>
      </c>
      <c r="I34" s="8">
        <v>1.0031700595763899</v>
      </c>
      <c r="J34" s="8" t="s">
        <v>46</v>
      </c>
      <c r="K34" s="3" t="str">
        <f t="shared" si="1"/>
        <v>0.88 (0.49, 1.59)</v>
      </c>
      <c r="L34" s="8">
        <v>0.674907033871048</v>
      </c>
      <c r="M34" s="3" t="str">
        <f t="shared" si="2"/>
        <v>1.29 (0.86, 1.93)</v>
      </c>
      <c r="N34" s="8">
        <v>0.218973005483176</v>
      </c>
      <c r="O34" s="8"/>
      <c r="P34" s="3" t="str">
        <f t="shared" si="0"/>
        <v>1.00 (1.00, 1.00)</v>
      </c>
      <c r="Q34" s="8">
        <v>0.80839290641416695</v>
      </c>
      <c r="R34" s="3" t="str">
        <f t="shared" si="3"/>
        <v>1.00 (1.00, 1.00)</v>
      </c>
      <c r="S34" s="8">
        <v>0.92371494576296698</v>
      </c>
      <c r="T34" s="8">
        <v>1.28716139323405</v>
      </c>
      <c r="U34" s="8">
        <v>0.86065400883370402</v>
      </c>
      <c r="V34" s="8">
        <v>1.92502961146648</v>
      </c>
      <c r="W34" s="8">
        <v>1.0002259870774499</v>
      </c>
      <c r="X34" s="8">
        <v>0.99561045137246196</v>
      </c>
      <c r="Y34" s="8">
        <v>1.0048629198758601</v>
      </c>
      <c r="Z34" s="8" t="s">
        <v>47</v>
      </c>
    </row>
    <row r="35" spans="1:26" hidden="1" x14ac:dyDescent="0.25">
      <c r="A35" s="3"/>
      <c r="B35" s="8" t="s">
        <v>68</v>
      </c>
      <c r="C35" s="8"/>
      <c r="D35" s="8">
        <v>0.73688104647006802</v>
      </c>
      <c r="E35" s="8">
        <v>0.10433300108118899</v>
      </c>
      <c r="F35" s="8">
        <v>5.2044288098669904</v>
      </c>
      <c r="G35" s="8">
        <v>1.00177079816912</v>
      </c>
      <c r="H35" s="8">
        <v>0.994551880256067</v>
      </c>
      <c r="I35" s="8">
        <v>1.00904211432993</v>
      </c>
      <c r="J35" s="8" t="s">
        <v>46</v>
      </c>
      <c r="K35" s="3" t="str">
        <f t="shared" si="1"/>
        <v>0.74 (0.10, 5.20)</v>
      </c>
      <c r="L35" s="8">
        <v>0.76005542885268496</v>
      </c>
      <c r="M35" s="3" t="str">
        <f t="shared" si="2"/>
        <v>0.81 (0.15, 4.37)</v>
      </c>
      <c r="N35" s="8">
        <v>0.80620777997800797</v>
      </c>
      <c r="O35" s="8"/>
      <c r="P35" s="3" t="str">
        <f t="shared" si="0"/>
        <v>1.00 (0.99, 1.01)</v>
      </c>
      <c r="Q35" s="8">
        <v>0.63900313860992797</v>
      </c>
      <c r="R35" s="3" t="str">
        <f t="shared" si="3"/>
        <v>1.00 (0.99, 1.01)</v>
      </c>
      <c r="S35" s="8">
        <v>0.79616627026409004</v>
      </c>
      <c r="T35" s="8">
        <v>0.80937904814291795</v>
      </c>
      <c r="U35" s="8">
        <v>0.14974141752756701</v>
      </c>
      <c r="V35" s="8">
        <v>4.3748379999951101</v>
      </c>
      <c r="W35" s="8">
        <v>0.99883154937947505</v>
      </c>
      <c r="X35" s="8">
        <v>0.99020329079320601</v>
      </c>
      <c r="Y35" s="8">
        <v>1.0075349913618401</v>
      </c>
      <c r="Z35" s="8" t="s">
        <v>47</v>
      </c>
    </row>
    <row r="36" spans="1:26" hidden="1" x14ac:dyDescent="0.25">
      <c r="A36" s="3"/>
      <c r="B36" s="8" t="s">
        <v>66</v>
      </c>
      <c r="C36" s="8"/>
      <c r="D36" s="8">
        <v>1.05308142278453</v>
      </c>
      <c r="E36" s="8">
        <v>0.46415028569467298</v>
      </c>
      <c r="F36" s="8">
        <v>2.3892702798924699</v>
      </c>
      <c r="G36" s="8">
        <v>1.0009729471245901</v>
      </c>
      <c r="H36" s="8">
        <v>0.99511376571893095</v>
      </c>
      <c r="I36" s="8">
        <v>1.0068666271051201</v>
      </c>
      <c r="J36" s="8" t="s">
        <v>46</v>
      </c>
      <c r="K36" s="3" t="str">
        <f t="shared" si="1"/>
        <v>1.05 (0.46, 2.39)</v>
      </c>
      <c r="L36" s="8">
        <v>0.90174088290749399</v>
      </c>
      <c r="M36" s="3" t="str">
        <f t="shared" si="2"/>
        <v>1.32 (0.65, 2.67)</v>
      </c>
      <c r="N36" s="8">
        <v>0.45001765373635699</v>
      </c>
      <c r="O36" s="8"/>
      <c r="P36" s="3" t="str">
        <f t="shared" si="0"/>
        <v>1.00 (1.00, 1.01)</v>
      </c>
      <c r="Q36" s="8">
        <v>0.75022955282027404</v>
      </c>
      <c r="R36" s="3" t="str">
        <f t="shared" si="3"/>
        <v>1.00 (0.99, 1.00)</v>
      </c>
      <c r="S36" s="8">
        <v>0.69145195801056902</v>
      </c>
      <c r="T36" s="8">
        <v>1.3150482354836199</v>
      </c>
      <c r="U36" s="8">
        <v>0.64707495609712795</v>
      </c>
      <c r="V36" s="8">
        <v>2.6725680624069699</v>
      </c>
      <c r="W36" s="8">
        <v>0.99883154937947505</v>
      </c>
      <c r="X36" s="8">
        <v>0.99321835429549599</v>
      </c>
      <c r="Y36" s="8">
        <v>1.0044764675572899</v>
      </c>
      <c r="Z36" s="8" t="s">
        <v>47</v>
      </c>
    </row>
    <row r="37" spans="1:26" hidden="1" x14ac:dyDescent="0.25">
      <c r="A37" s="8" t="s">
        <v>48</v>
      </c>
      <c r="B37" s="8" t="s">
        <v>69</v>
      </c>
      <c r="C37" s="8"/>
      <c r="D37" s="8">
        <v>1.47670572864677</v>
      </c>
      <c r="E37" s="8">
        <v>0.97962012084712002</v>
      </c>
      <c r="F37" s="8">
        <v>2.2260259488468499</v>
      </c>
      <c r="G37" s="8">
        <v>1.00435745799595</v>
      </c>
      <c r="H37" s="8">
        <v>0.95303909841049805</v>
      </c>
      <c r="I37" s="8">
        <v>1.05843916069601</v>
      </c>
      <c r="J37" s="8" t="s">
        <v>49</v>
      </c>
      <c r="K37" s="3" t="str">
        <f t="shared" si="1"/>
        <v>1.48 (0.98, 2.23)</v>
      </c>
      <c r="L37" s="8">
        <v>6.4162902925871901E-2</v>
      </c>
      <c r="M37" s="3" t="str">
        <f t="shared" si="2"/>
        <v>0.00 (0.00, 8.92E+36)</v>
      </c>
      <c r="N37" s="8">
        <v>0.69850410453713396</v>
      </c>
      <c r="O37" s="8"/>
      <c r="P37" s="3" t="str">
        <f t="shared" si="0"/>
        <v>1.00 (0.95, 1.06)</v>
      </c>
      <c r="Q37" s="8">
        <v>0.87342008399966198</v>
      </c>
      <c r="R37" s="3" t="str">
        <f t="shared" si="3"/>
        <v>1.00 (1.00, 1.00)</v>
      </c>
      <c r="S37" s="8">
        <v>0.29078161126531399</v>
      </c>
      <c r="T37" s="8">
        <v>3.6696698788246799E-10</v>
      </c>
      <c r="U37" s="8">
        <v>1.5101839149532101E-56</v>
      </c>
      <c r="V37" s="10">
        <v>8.9171106156104041E+36</v>
      </c>
      <c r="W37" s="8">
        <v>1.0003068756967901</v>
      </c>
      <c r="X37" s="8">
        <v>0.999767672150775</v>
      </c>
      <c r="Y37" s="8">
        <v>1.0008463700508401</v>
      </c>
      <c r="Z37" s="8" t="s">
        <v>50</v>
      </c>
    </row>
    <row r="38" spans="1:26" hidden="1" x14ac:dyDescent="0.25">
      <c r="A38" s="3"/>
      <c r="B38" s="8" t="s">
        <v>66</v>
      </c>
      <c r="C38" s="8"/>
      <c r="D38" s="8">
        <v>1.06005672436847</v>
      </c>
      <c r="E38" s="8">
        <v>0.86679833235954595</v>
      </c>
      <c r="F38" s="8">
        <v>1.2964033465776099</v>
      </c>
      <c r="G38" s="8">
        <v>1.0111641297318299</v>
      </c>
      <c r="H38" s="8">
        <v>0.98459896748711595</v>
      </c>
      <c r="I38" s="8">
        <v>1.0384460384575001</v>
      </c>
      <c r="J38" s="8" t="s">
        <v>49</v>
      </c>
      <c r="K38" s="3" t="str">
        <f t="shared" si="1"/>
        <v>1.06 (0.87, 1.30)</v>
      </c>
      <c r="L38" s="8">
        <v>0.57006932944615596</v>
      </c>
      <c r="M38" s="3" t="str">
        <f t="shared" si="2"/>
        <v>0.00 (0.00, 1.90E+15)</v>
      </c>
      <c r="N38" s="8">
        <v>0.48408844685150698</v>
      </c>
      <c r="O38" s="8"/>
      <c r="P38" s="3" t="str">
        <f t="shared" si="0"/>
        <v>1.01 (0.98, 1.04)</v>
      </c>
      <c r="Q38" s="8">
        <v>0.41372769906670698</v>
      </c>
      <c r="R38" s="3" t="str">
        <f t="shared" si="3"/>
        <v>1.00 (1.00, 1.00)</v>
      </c>
      <c r="S38" s="8">
        <v>0.34199767513274998</v>
      </c>
      <c r="T38" s="8">
        <v>3.2848048363172998E-9</v>
      </c>
      <c r="U38" s="8">
        <v>5.6751575016563897E-33</v>
      </c>
      <c r="V38" s="10">
        <v>1901258742077962</v>
      </c>
      <c r="W38" s="8">
        <v>1.0001629430206</v>
      </c>
      <c r="X38" s="8">
        <v>0.99982687472004805</v>
      </c>
      <c r="Y38" s="8">
        <v>1.0004991242826</v>
      </c>
      <c r="Z38" s="8" t="s">
        <v>50</v>
      </c>
    </row>
    <row r="39" spans="1:26" x14ac:dyDescent="0.25">
      <c r="A39" s="8" t="s">
        <v>48</v>
      </c>
      <c r="B39" s="8" t="s">
        <v>67</v>
      </c>
      <c r="C39" s="8"/>
      <c r="D39" s="8">
        <v>1.1044257088298</v>
      </c>
      <c r="E39" s="8">
        <v>0.95170519482356297</v>
      </c>
      <c r="F39" s="8">
        <v>1.28165334492089</v>
      </c>
      <c r="G39" s="8">
        <v>0.99527495820562095</v>
      </c>
      <c r="H39" s="8">
        <v>0.97227583495124603</v>
      </c>
      <c r="I39" s="8">
        <v>1.0188181242629299</v>
      </c>
      <c r="J39" s="8" t="s">
        <v>49</v>
      </c>
      <c r="K39" s="3" t="str">
        <f t="shared" si="1"/>
        <v>1.10 (0.95, 1.28)</v>
      </c>
      <c r="L39" s="8">
        <v>0.19084080535276299</v>
      </c>
      <c r="M39" s="3" t="str">
        <f t="shared" si="2"/>
        <v>0.00 (0.00, 4.16E+06)</v>
      </c>
      <c r="N39" s="8">
        <v>0.21809423839519601</v>
      </c>
      <c r="O39" s="8"/>
      <c r="P39" s="3" t="str">
        <f t="shared" si="0"/>
        <v>1.00 (0.97, 1.02)</v>
      </c>
      <c r="Q39" s="8">
        <v>0.69132420163371799</v>
      </c>
      <c r="R39" s="3" t="str">
        <f t="shared" si="3"/>
        <v>1.00 (1.00, 1.00)</v>
      </c>
      <c r="S39" s="8">
        <v>0.64626581061129895</v>
      </c>
      <c r="T39" s="8">
        <v>6.4141750026689596E-12</v>
      </c>
      <c r="U39" s="8">
        <v>9.8787625647287801E-30</v>
      </c>
      <c r="V39" s="10">
        <v>4164655.3093355801</v>
      </c>
      <c r="W39" s="8">
        <v>1.00007270172528</v>
      </c>
      <c r="X39" s="8">
        <v>0.99976226137101898</v>
      </c>
      <c r="Y39" s="8">
        <v>1.0003832384756799</v>
      </c>
      <c r="Z39" s="8" t="s">
        <v>50</v>
      </c>
    </row>
    <row r="40" spans="1:26" hidden="1" x14ac:dyDescent="0.25">
      <c r="A40" s="3"/>
      <c r="B40" s="8" t="s">
        <v>68</v>
      </c>
      <c r="C40" s="8"/>
      <c r="D40" s="8">
        <v>1.0162450478607801</v>
      </c>
      <c r="E40" s="8">
        <v>0.56098232195360798</v>
      </c>
      <c r="F40" s="8">
        <v>1.8409742283946</v>
      </c>
      <c r="G40" s="8">
        <v>1.0309643426627699</v>
      </c>
      <c r="H40" s="8">
        <v>0.97928430275620604</v>
      </c>
      <c r="I40" s="8">
        <v>1.0853717075322999</v>
      </c>
      <c r="J40" s="8" t="s">
        <v>49</v>
      </c>
      <c r="K40" s="3" t="str">
        <f t="shared" si="1"/>
        <v>1.02 (0.56, 1.84)</v>
      </c>
      <c r="L40" s="8">
        <v>0.95766178222957998</v>
      </c>
      <c r="M40" s="3" t="str">
        <f t="shared" si="2"/>
        <v>0.00 (0.00, 1.70E+20)</v>
      </c>
      <c r="N40" s="8">
        <v>0.45632232027781</v>
      </c>
      <c r="O40" s="8"/>
      <c r="P40" s="3" t="str">
        <f t="shared" si="0"/>
        <v>1.03 (0.98, 1.09)</v>
      </c>
      <c r="Q40" s="8">
        <v>0.26458460859785599</v>
      </c>
      <c r="R40" s="3" t="str">
        <f t="shared" si="3"/>
        <v>1.00 (1.00, 1.00)</v>
      </c>
      <c r="S40" s="8">
        <v>0.51012575496919399</v>
      </c>
      <c r="T40" s="8">
        <v>7.0899456243612102E-14</v>
      </c>
      <c r="U40" s="8">
        <v>2.9557148869841002E-47</v>
      </c>
      <c r="V40" s="10">
        <v>1.7006826056788407E+20</v>
      </c>
      <c r="W40" s="8">
        <v>1.0001741505241399</v>
      </c>
      <c r="X40" s="8">
        <v>0.99967279755285399</v>
      </c>
      <c r="Y40" s="8">
        <v>1.0006757549324901</v>
      </c>
      <c r="Z40" s="8" t="s">
        <v>50</v>
      </c>
    </row>
    <row r="41" spans="1:26" hidden="1" x14ac:dyDescent="0.25">
      <c r="A41" s="3"/>
      <c r="B41" s="8" t="s">
        <v>66</v>
      </c>
      <c r="C41" s="8"/>
      <c r="D41" s="8">
        <v>0.99851703456607699</v>
      </c>
      <c r="E41" s="8">
        <v>0.60522564875964202</v>
      </c>
      <c r="F41" s="8">
        <v>1.64737940363561</v>
      </c>
      <c r="G41" s="8">
        <v>1.0242884295197601</v>
      </c>
      <c r="H41" s="8">
        <v>0.98161803927658098</v>
      </c>
      <c r="I41" s="8">
        <v>1.06881367789579</v>
      </c>
      <c r="J41" s="8" t="s">
        <v>49</v>
      </c>
      <c r="K41" s="3" t="str">
        <f t="shared" si="1"/>
        <v>1.00 (0.61, 1.65)</v>
      </c>
      <c r="L41" s="8">
        <v>0.99537045083288</v>
      </c>
      <c r="M41" s="3" t="str">
        <f t="shared" si="2"/>
        <v>0.00 (0.00, 1.04E+21)</v>
      </c>
      <c r="N41" s="8">
        <v>0.63896441011230198</v>
      </c>
      <c r="O41" s="8"/>
      <c r="P41" s="3" t="str">
        <f t="shared" si="0"/>
        <v>1.02 (0.98, 1.07)</v>
      </c>
      <c r="Q41" s="8">
        <v>0.28761804771009303</v>
      </c>
      <c r="R41" s="3" t="str">
        <f t="shared" si="3"/>
        <v>1.00 (1.00, 1.00)</v>
      </c>
      <c r="S41" s="8">
        <v>0.43961229329500501</v>
      </c>
      <c r="T41" s="8">
        <v>1.3729177941923401E-7</v>
      </c>
      <c r="U41" s="8">
        <v>1.8068281733171299E-35</v>
      </c>
      <c r="V41" s="10">
        <v>1.0432111350962081E+21</v>
      </c>
      <c r="W41" s="8">
        <v>1.0001516484000501</v>
      </c>
      <c r="X41" s="8">
        <v>0.99978101295425004</v>
      </c>
      <c r="Y41" s="8">
        <v>1.00052242124656</v>
      </c>
      <c r="Z41" s="8" t="s">
        <v>50</v>
      </c>
    </row>
    <row r="42" spans="1:26" hidden="1" x14ac:dyDescent="0.25">
      <c r="A42" s="8" t="s">
        <v>51</v>
      </c>
      <c r="B42" s="8" t="s">
        <v>69</v>
      </c>
      <c r="C42" s="8"/>
      <c r="D42" s="9">
        <v>949179528.789801</v>
      </c>
      <c r="E42" s="8">
        <v>2.0843798528964799E-23</v>
      </c>
      <c r="F42" s="12">
        <v>4.3223492907094757E+40</v>
      </c>
      <c r="G42" s="8">
        <v>0.99980182669859097</v>
      </c>
      <c r="H42" s="8">
        <v>0.99940106665204698</v>
      </c>
      <c r="I42" s="8">
        <v>1.0002027474499999</v>
      </c>
      <c r="J42" s="8" t="s">
        <v>52</v>
      </c>
      <c r="K42" s="3" t="str">
        <f t="shared" si="1"/>
        <v>9.49E+08 (0.00, 4.32E+40)</v>
      </c>
      <c r="L42" s="8">
        <v>0.58947586249361295</v>
      </c>
      <c r="M42" s="3" t="str">
        <f t="shared" si="2"/>
        <v>1.04 (0.42, 2.58)</v>
      </c>
      <c r="N42" s="8">
        <v>0.93780789376753104</v>
      </c>
      <c r="O42" s="8"/>
      <c r="P42" s="3" t="str">
        <f t="shared" si="0"/>
        <v>1.00 (1.00, 1.00)</v>
      </c>
      <c r="Q42" s="8">
        <v>0.35543662905825801</v>
      </c>
      <c r="R42" s="3" t="str">
        <f t="shared" si="3"/>
        <v>0.99 (0.93, 1.06)</v>
      </c>
      <c r="S42" s="8">
        <v>0.77286590350041295</v>
      </c>
      <c r="T42" s="8">
        <v>1.03745644341055</v>
      </c>
      <c r="U42" s="8">
        <v>0.41694608417087398</v>
      </c>
      <c r="V42" s="8">
        <v>2.5814269826143099</v>
      </c>
      <c r="W42" s="8">
        <v>0.99051535100681398</v>
      </c>
      <c r="X42" s="8">
        <v>0.92968568448245903</v>
      </c>
      <c r="Y42" s="8">
        <v>1.05532512434708</v>
      </c>
      <c r="Z42" s="8" t="s">
        <v>53</v>
      </c>
    </row>
    <row r="43" spans="1:26" hidden="1" x14ac:dyDescent="0.25">
      <c r="A43" s="3"/>
      <c r="B43" s="8" t="s">
        <v>66</v>
      </c>
      <c r="C43" s="8"/>
      <c r="D43" s="8">
        <v>5.5016254414040698E-2</v>
      </c>
      <c r="E43" s="8">
        <v>3.26584688838379E-24</v>
      </c>
      <c r="F43" s="12">
        <v>9.2680041447024283E+20</v>
      </c>
      <c r="G43" s="8">
        <v>0.99978692361094001</v>
      </c>
      <c r="H43" s="8">
        <v>0.99946807702770302</v>
      </c>
      <c r="I43" s="8">
        <v>1.00010587191143</v>
      </c>
      <c r="J43" s="8" t="s">
        <v>52</v>
      </c>
      <c r="K43" s="3" t="str">
        <f t="shared" si="1"/>
        <v>0.06 (0.00, 9.27E+20)</v>
      </c>
      <c r="L43" s="8">
        <v>0.91156295086207695</v>
      </c>
      <c r="M43" s="3" t="str">
        <f t="shared" si="2"/>
        <v>0.98 (0.60, 1.59)</v>
      </c>
      <c r="N43" s="8">
        <v>0.92863585096734302</v>
      </c>
      <c r="O43" s="8"/>
      <c r="P43" s="3" t="str">
        <f t="shared" si="0"/>
        <v>1.00 (1.00, 1.00)</v>
      </c>
      <c r="Q43" s="8">
        <v>0.190376679841265</v>
      </c>
      <c r="R43" s="3" t="str">
        <f t="shared" si="3"/>
        <v>0.98 (0.94, 1.01)</v>
      </c>
      <c r="S43" s="8">
        <v>0.21665637667816001</v>
      </c>
      <c r="T43" s="8">
        <v>0.97790927405903805</v>
      </c>
      <c r="U43" s="8">
        <v>0.59977441081185601</v>
      </c>
      <c r="V43" s="8">
        <v>1.5944437292618401</v>
      </c>
      <c r="W43" s="8">
        <v>0.97723010755375295</v>
      </c>
      <c r="X43" s="8">
        <v>0.94216591813222506</v>
      </c>
      <c r="Y43" s="8">
        <v>1.01359926604297</v>
      </c>
      <c r="Z43" s="8" t="s">
        <v>53</v>
      </c>
    </row>
    <row r="44" spans="1:26" x14ac:dyDescent="0.25">
      <c r="A44" s="8" t="s">
        <v>51</v>
      </c>
      <c r="B44" s="8" t="s">
        <v>67</v>
      </c>
      <c r="C44" s="8"/>
      <c r="D44" s="8">
        <v>1.8487903997299799E-4</v>
      </c>
      <c r="E44" s="8">
        <v>3.7601088160416499E-20</v>
      </c>
      <c r="F44" s="12">
        <v>909023145168.43298</v>
      </c>
      <c r="G44" s="8">
        <v>0.99992601440559603</v>
      </c>
      <c r="H44" s="8">
        <v>0.99969603742357505</v>
      </c>
      <c r="I44" s="8">
        <v>1.0001560442931099</v>
      </c>
      <c r="J44" s="8" t="s">
        <v>52</v>
      </c>
      <c r="K44" s="3" t="str">
        <f t="shared" si="1"/>
        <v>0.00 (0.00, 9.09E+11)</v>
      </c>
      <c r="L44" s="8">
        <v>0.64100687304640203</v>
      </c>
      <c r="M44" s="3" t="str">
        <f t="shared" si="2"/>
        <v>1.05 (0.75, 1.46)</v>
      </c>
      <c r="N44" s="8">
        <v>0.77878349821557002</v>
      </c>
      <c r="O44" s="8"/>
      <c r="P44" s="3" t="str">
        <f t="shared" si="0"/>
        <v>1.00 (1.00, 1.00)</v>
      </c>
      <c r="Q44" s="8">
        <v>0.52839811230649603</v>
      </c>
      <c r="R44" s="3" t="str">
        <f t="shared" si="3"/>
        <v>0.98 (0.96, 1.01)</v>
      </c>
      <c r="S44" s="8">
        <v>0.24994799777879301</v>
      </c>
      <c r="T44" s="8">
        <v>1.0485569733261899</v>
      </c>
      <c r="U44" s="8">
        <v>0.75320300088742198</v>
      </c>
      <c r="V44" s="8">
        <v>1.4597282870827499</v>
      </c>
      <c r="W44" s="8">
        <v>0.98372920201714797</v>
      </c>
      <c r="X44" s="8">
        <v>0.95661693879232901</v>
      </c>
      <c r="Y44" s="8">
        <v>1.0116098760732699</v>
      </c>
      <c r="Z44" s="8" t="s">
        <v>53</v>
      </c>
    </row>
    <row r="45" spans="1:26" hidden="1" x14ac:dyDescent="0.25">
      <c r="A45" s="3"/>
      <c r="B45" s="8" t="s">
        <v>68</v>
      </c>
      <c r="C45" s="8"/>
      <c r="D45" s="8">
        <v>5.3885222662127096E-3</v>
      </c>
      <c r="E45" s="8">
        <v>8.6152445547230102E-35</v>
      </c>
      <c r="F45" s="12">
        <v>3.3703247805719019E+29</v>
      </c>
      <c r="G45" s="8">
        <v>0.99973142098001699</v>
      </c>
      <c r="H45" s="8">
        <v>0.99926959830232098</v>
      </c>
      <c r="I45" s="8">
        <v>1.00019345709379</v>
      </c>
      <c r="J45" s="8" t="s">
        <v>52</v>
      </c>
      <c r="K45" s="3" t="str">
        <f t="shared" si="1"/>
        <v>0.01 (0.00, 3.37E+29)</v>
      </c>
      <c r="L45" s="8">
        <v>0.89110759226120095</v>
      </c>
      <c r="M45" s="3" t="str">
        <f t="shared" si="2"/>
        <v>0.96 (0.42, 2.24)</v>
      </c>
      <c r="N45" s="8">
        <v>0.93460495627089302</v>
      </c>
      <c r="O45" s="8"/>
      <c r="P45" s="3" t="str">
        <f t="shared" si="0"/>
        <v>1.00 (1.00, 1.00)</v>
      </c>
      <c r="Q45" s="8">
        <v>0.278721622329139</v>
      </c>
      <c r="R45" s="3" t="str">
        <f t="shared" si="3"/>
        <v>0.98 (0.92, 1.04)</v>
      </c>
      <c r="S45" s="8">
        <v>0.431416343656637</v>
      </c>
      <c r="T45" s="8">
        <v>0.96491251595885397</v>
      </c>
      <c r="U45" s="8">
        <v>0.41551011206687199</v>
      </c>
      <c r="V45" s="8">
        <v>2.24075452417437</v>
      </c>
      <c r="W45" s="8">
        <v>0.97582322694204504</v>
      </c>
      <c r="X45" s="8">
        <v>0.91972154533734496</v>
      </c>
      <c r="Y45" s="8">
        <v>1.03534702983425</v>
      </c>
      <c r="Z45" s="8" t="s">
        <v>53</v>
      </c>
    </row>
    <row r="46" spans="1:26" hidden="1" x14ac:dyDescent="0.25">
      <c r="A46" s="3"/>
      <c r="B46" s="8" t="s">
        <v>66</v>
      </c>
      <c r="C46" s="8"/>
      <c r="D46" s="8">
        <v>8.5134641076607995E-2</v>
      </c>
      <c r="E46" s="8">
        <v>6.31038820139242E-23</v>
      </c>
      <c r="F46" s="12">
        <v>1.1485675492426257E+20</v>
      </c>
      <c r="G46" s="8">
        <v>0.99976924831450698</v>
      </c>
      <c r="H46" s="8">
        <v>0.99945665489572699</v>
      </c>
      <c r="I46" s="8">
        <v>1.0000819395010501</v>
      </c>
      <c r="J46" s="8" t="s">
        <v>52</v>
      </c>
      <c r="K46" s="3" t="str">
        <f t="shared" si="1"/>
        <v>0.09 (0.00, 1.15E+20)</v>
      </c>
      <c r="L46" s="8">
        <v>0.92258461984393603</v>
      </c>
      <c r="M46" s="3" t="str">
        <f t="shared" si="2"/>
        <v>0.96 (0.41, 2.21)</v>
      </c>
      <c r="N46" s="8">
        <v>0.91687489272851797</v>
      </c>
      <c r="O46" s="8"/>
      <c r="P46" s="3" t="str">
        <f t="shared" si="0"/>
        <v>1.00 (1.00, 1.00)</v>
      </c>
      <c r="Q46" s="8">
        <v>0.17593805312721</v>
      </c>
      <c r="R46" s="3" t="str">
        <f t="shared" si="3"/>
        <v>0.98 (0.93, 1.03)</v>
      </c>
      <c r="S46" s="8">
        <v>0.392711857251764</v>
      </c>
      <c r="T46" s="8">
        <v>0.95589096850106903</v>
      </c>
      <c r="U46" s="8">
        <v>0.41410726483058502</v>
      </c>
      <c r="V46" s="8">
        <v>2.20649967113164</v>
      </c>
      <c r="W46" s="8">
        <v>0.97887451267728698</v>
      </c>
      <c r="X46" s="8">
        <v>0.93350892202357305</v>
      </c>
      <c r="Y46" s="8">
        <v>1.02644472801836</v>
      </c>
      <c r="Z46" s="8" t="s">
        <v>53</v>
      </c>
    </row>
    <row r="48" spans="1:26" x14ac:dyDescent="0.25">
      <c r="T48" s="1" t="s">
        <v>70</v>
      </c>
    </row>
  </sheetData>
  <autoFilter ref="A1:B46" xr:uid="{00000000-0001-0000-0000-000000000000}">
    <filterColumn colId="1">
      <filters>
        <filter val="IVW"/>
      </filters>
    </filterColumn>
  </autoFilter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0A399-F186-4ECF-B153-C00A1FB35DD7}">
  <dimension ref="A1:I15"/>
  <sheetViews>
    <sheetView workbookViewId="0">
      <selection activeCell="C22" sqref="C22"/>
    </sheetView>
  </sheetViews>
  <sheetFormatPr defaultRowHeight="13.8" x14ac:dyDescent="0.25"/>
  <cols>
    <col min="1" max="2" width="26.77734375" bestFit="1" customWidth="1"/>
    <col min="3" max="4" width="38.88671875" bestFit="1" customWidth="1"/>
    <col min="5" max="5" width="23.5546875" bestFit="1" customWidth="1"/>
    <col min="6" max="6" width="5.6640625" bestFit="1" customWidth="1"/>
    <col min="7" max="7" width="6.33203125" style="2" bestFit="1" customWidth="1"/>
    <col min="8" max="9" width="5.6640625" style="2" bestFit="1" customWidth="1"/>
  </cols>
  <sheetData>
    <row r="1" spans="1:9" s="7" customFormat="1" x14ac:dyDescent="0.25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6" t="s">
        <v>23</v>
      </c>
      <c r="H1" s="6" t="s">
        <v>24</v>
      </c>
      <c r="I1" s="6" t="s">
        <v>25</v>
      </c>
    </row>
    <row r="2" spans="1:9" x14ac:dyDescent="0.25">
      <c r="A2" s="3" t="s">
        <v>14</v>
      </c>
      <c r="B2" s="3" t="s">
        <v>26</v>
      </c>
      <c r="C2" s="3" t="s">
        <v>3</v>
      </c>
      <c r="D2" s="3" t="s">
        <v>27</v>
      </c>
      <c r="E2" s="3" t="s">
        <v>4</v>
      </c>
      <c r="F2" s="3">
        <v>219</v>
      </c>
      <c r="G2" s="4">
        <v>-0.34118870309849197</v>
      </c>
      <c r="H2" s="4">
        <v>0.18390539898417299</v>
      </c>
      <c r="I2" s="4">
        <v>6.3561922646319699E-2</v>
      </c>
    </row>
    <row r="3" spans="1:9" x14ac:dyDescent="0.25">
      <c r="A3" s="3" t="s">
        <v>26</v>
      </c>
      <c r="B3" s="3" t="s">
        <v>14</v>
      </c>
      <c r="C3" s="3" t="s">
        <v>27</v>
      </c>
      <c r="D3" s="3" t="s">
        <v>3</v>
      </c>
      <c r="E3" s="3" t="s">
        <v>4</v>
      </c>
      <c r="F3" s="3">
        <v>14</v>
      </c>
      <c r="G3" s="4">
        <v>1.6632232736262E-3</v>
      </c>
      <c r="H3" s="4">
        <v>1.84257764259106E-3</v>
      </c>
      <c r="I3" s="4">
        <v>0.36670575568522801</v>
      </c>
    </row>
    <row r="4" spans="1:9" x14ac:dyDescent="0.25">
      <c r="A4" s="3" t="s">
        <v>14</v>
      </c>
      <c r="B4" s="3" t="s">
        <v>15</v>
      </c>
      <c r="C4" s="3" t="s">
        <v>3</v>
      </c>
      <c r="D4" s="3" t="s">
        <v>16</v>
      </c>
      <c r="E4" s="3" t="s">
        <v>4</v>
      </c>
      <c r="F4" s="3">
        <v>424</v>
      </c>
      <c r="G4" s="4">
        <v>7.7724814789845104E-3</v>
      </c>
      <c r="H4" s="4">
        <v>4.3512145565127301E-2</v>
      </c>
      <c r="I4" s="4">
        <v>0.85822991660808101</v>
      </c>
    </row>
    <row r="5" spans="1:9" x14ac:dyDescent="0.25">
      <c r="A5" s="3" t="s">
        <v>15</v>
      </c>
      <c r="B5" s="3" t="s">
        <v>14</v>
      </c>
      <c r="C5" s="3" t="s">
        <v>16</v>
      </c>
      <c r="D5" s="3" t="s">
        <v>3</v>
      </c>
      <c r="E5" s="3" t="s">
        <v>4</v>
      </c>
      <c r="F5" s="3">
        <v>14</v>
      </c>
      <c r="G5" s="4">
        <v>2.38082322881614E-4</v>
      </c>
      <c r="H5" s="4">
        <v>9.0784455713444501E-3</v>
      </c>
      <c r="I5" s="4">
        <v>0.97907786790958296</v>
      </c>
    </row>
    <row r="6" spans="1:9" x14ac:dyDescent="0.25">
      <c r="A6" s="3" t="s">
        <v>14</v>
      </c>
      <c r="B6" s="3" t="s">
        <v>28</v>
      </c>
      <c r="C6" s="3" t="s">
        <v>3</v>
      </c>
      <c r="D6" s="3" t="s">
        <v>29</v>
      </c>
      <c r="E6" s="3" t="s">
        <v>4</v>
      </c>
      <c r="F6" s="3">
        <v>183</v>
      </c>
      <c r="G6" s="4">
        <v>0.12733487342573799</v>
      </c>
      <c r="H6" s="4">
        <v>0.26497335369871</v>
      </c>
      <c r="I6" s="4">
        <v>0.63083118559071905</v>
      </c>
    </row>
    <row r="7" spans="1:9" x14ac:dyDescent="0.25">
      <c r="A7" s="3" t="s">
        <v>28</v>
      </c>
      <c r="B7" s="3" t="s">
        <v>14</v>
      </c>
      <c r="C7" s="3" t="s">
        <v>29</v>
      </c>
      <c r="D7" s="3" t="s">
        <v>3</v>
      </c>
      <c r="E7" s="3" t="s">
        <v>4</v>
      </c>
      <c r="F7" s="3">
        <v>13</v>
      </c>
      <c r="G7" s="4">
        <v>-3.0592393886906301E-3</v>
      </c>
      <c r="H7" s="4">
        <v>2.8651613012516302E-3</v>
      </c>
      <c r="I7" s="4">
        <v>0.28563905998674599</v>
      </c>
    </row>
    <row r="8" spans="1:9" x14ac:dyDescent="0.25">
      <c r="A8" s="3" t="s">
        <v>14</v>
      </c>
      <c r="B8" s="3" t="s">
        <v>30</v>
      </c>
      <c r="C8" s="3" t="s">
        <v>3</v>
      </c>
      <c r="D8" s="3" t="s">
        <v>31</v>
      </c>
      <c r="E8" s="3" t="s">
        <v>4</v>
      </c>
      <c r="F8" s="3">
        <v>43</v>
      </c>
      <c r="G8" s="4">
        <v>-0.41757117037635999</v>
      </c>
      <c r="H8" s="4">
        <v>0.62972260183509099</v>
      </c>
      <c r="I8" s="4">
        <v>0.50726436169469302</v>
      </c>
    </row>
    <row r="9" spans="1:9" x14ac:dyDescent="0.25">
      <c r="A9" s="3" t="s">
        <v>30</v>
      </c>
      <c r="B9" s="3" t="s">
        <v>14</v>
      </c>
      <c r="C9" s="3" t="s">
        <v>31</v>
      </c>
      <c r="D9" s="3" t="s">
        <v>3</v>
      </c>
      <c r="E9" s="3" t="s">
        <v>4</v>
      </c>
      <c r="F9" s="3">
        <v>12</v>
      </c>
      <c r="G9" s="4">
        <v>1.15699543011196E-3</v>
      </c>
      <c r="H9" s="4">
        <v>1.4628846303159E-3</v>
      </c>
      <c r="I9" s="4">
        <v>0.429002357980313</v>
      </c>
    </row>
    <row r="10" spans="1:9" x14ac:dyDescent="0.25">
      <c r="A10" s="3" t="s">
        <v>32</v>
      </c>
      <c r="B10" s="3" t="s">
        <v>14</v>
      </c>
      <c r="C10" s="3" t="s">
        <v>33</v>
      </c>
      <c r="D10" s="3" t="s">
        <v>3</v>
      </c>
      <c r="E10" s="3" t="s">
        <v>4</v>
      </c>
      <c r="F10" s="3">
        <v>12</v>
      </c>
      <c r="G10" s="4">
        <v>-1.76432203014492E-2</v>
      </c>
      <c r="H10" s="4">
        <v>1.9348870651657499E-2</v>
      </c>
      <c r="I10" s="4">
        <v>0.36184897520284598</v>
      </c>
    </row>
    <row r="11" spans="1:9" x14ac:dyDescent="0.25">
      <c r="A11" s="3" t="s">
        <v>14</v>
      </c>
      <c r="B11" s="3" t="s">
        <v>32</v>
      </c>
      <c r="C11" s="3" t="s">
        <v>3</v>
      </c>
      <c r="D11" s="3" t="s">
        <v>33</v>
      </c>
      <c r="E11" s="3" t="s">
        <v>4</v>
      </c>
      <c r="F11" s="3">
        <v>17</v>
      </c>
      <c r="G11" s="4">
        <v>-3.94524907136077E-2</v>
      </c>
      <c r="H11" s="4">
        <v>4.5095178844837998E-2</v>
      </c>
      <c r="I11" s="4">
        <v>0.38164378004635202</v>
      </c>
    </row>
    <row r="12" spans="1:9" x14ac:dyDescent="0.25">
      <c r="A12" s="3" t="s">
        <v>34</v>
      </c>
      <c r="B12" s="3" t="s">
        <v>14</v>
      </c>
      <c r="C12" s="3" t="s">
        <v>35</v>
      </c>
      <c r="D12" s="3" t="s">
        <v>3</v>
      </c>
      <c r="E12" s="3" t="s">
        <v>4</v>
      </c>
      <c r="F12" s="3">
        <v>12</v>
      </c>
      <c r="G12" s="4">
        <v>9.4715134946221996E-2</v>
      </c>
      <c r="H12" s="4">
        <v>3.3451467540127899E-2</v>
      </c>
      <c r="I12" s="4">
        <v>4.6341908181058902E-3</v>
      </c>
    </row>
    <row r="13" spans="1:9" x14ac:dyDescent="0.25">
      <c r="A13" s="3" t="s">
        <v>14</v>
      </c>
      <c r="B13" s="3" t="s">
        <v>34</v>
      </c>
      <c r="C13" s="3" t="s">
        <v>3</v>
      </c>
      <c r="D13" s="3" t="s">
        <v>35</v>
      </c>
      <c r="E13" s="3" t="s">
        <v>4</v>
      </c>
      <c r="F13" s="3">
        <v>15</v>
      </c>
      <c r="G13" s="4">
        <v>2.29280810376103E-2</v>
      </c>
      <c r="H13" s="4">
        <v>3.0561985212887399E-2</v>
      </c>
      <c r="I13" s="4">
        <v>0.453124806392049</v>
      </c>
    </row>
    <row r="14" spans="1:9" x14ac:dyDescent="0.25">
      <c r="A14" s="3" t="s">
        <v>14</v>
      </c>
      <c r="B14" s="3" t="s">
        <v>36</v>
      </c>
      <c r="C14" s="3" t="s">
        <v>3</v>
      </c>
      <c r="D14" s="3" t="s">
        <v>37</v>
      </c>
      <c r="E14" s="3" t="s">
        <v>4</v>
      </c>
      <c r="F14" s="3">
        <v>12</v>
      </c>
      <c r="G14" s="4">
        <v>0.35462231611031497</v>
      </c>
      <c r="H14" s="4">
        <v>9.69311685994102E-2</v>
      </c>
      <c r="I14" s="4">
        <v>2.5369945970519998E-4</v>
      </c>
    </row>
    <row r="15" spans="1:9" x14ac:dyDescent="0.25">
      <c r="A15" s="3" t="s">
        <v>36</v>
      </c>
      <c r="B15" s="3" t="s">
        <v>14</v>
      </c>
      <c r="C15" s="3" t="s">
        <v>37</v>
      </c>
      <c r="D15" s="3" t="s">
        <v>3</v>
      </c>
      <c r="E15" s="3" t="s">
        <v>4</v>
      </c>
      <c r="F15" s="3">
        <v>15</v>
      </c>
      <c r="G15" s="4">
        <v>0.28678308527581697</v>
      </c>
      <c r="H15" s="4">
        <v>0.108922137580306</v>
      </c>
      <c r="I15" s="4">
        <v>8.4654717370339708E-3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1F5E5-519C-43EC-88C1-414EAAA50CCE}">
  <dimension ref="A1:J35"/>
  <sheetViews>
    <sheetView tabSelected="1" topLeftCell="A9" workbookViewId="0">
      <selection sqref="A1:J35"/>
    </sheetView>
  </sheetViews>
  <sheetFormatPr defaultRowHeight="13.8" x14ac:dyDescent="0.25"/>
  <cols>
    <col min="3" max="3" width="22.44140625" customWidth="1"/>
    <col min="4" max="4" width="18.88671875" customWidth="1"/>
    <col min="6" max="6" width="8.88671875" style="14"/>
    <col min="10" max="10" width="9.44140625" bestFit="1" customWidth="1"/>
  </cols>
  <sheetData>
    <row r="1" spans="1:10" x14ac:dyDescent="0.25">
      <c r="A1" s="8" t="s">
        <v>18</v>
      </c>
      <c r="B1" s="8" t="s">
        <v>17</v>
      </c>
      <c r="C1" s="8" t="s">
        <v>19</v>
      </c>
      <c r="D1" s="8" t="s">
        <v>20</v>
      </c>
      <c r="E1" s="8" t="s">
        <v>21</v>
      </c>
      <c r="F1" s="13" t="s">
        <v>22</v>
      </c>
      <c r="G1" s="8" t="s">
        <v>78</v>
      </c>
      <c r="H1" s="8" t="s">
        <v>79</v>
      </c>
      <c r="I1" s="8" t="s">
        <v>80</v>
      </c>
      <c r="J1" s="8" t="s">
        <v>81</v>
      </c>
    </row>
    <row r="2" spans="1:10" x14ac:dyDescent="0.25">
      <c r="A2" s="8" t="s">
        <v>14</v>
      </c>
      <c r="B2" s="8" t="s">
        <v>41</v>
      </c>
      <c r="C2" s="8" t="s">
        <v>88</v>
      </c>
      <c r="D2" s="8" t="s">
        <v>3</v>
      </c>
      <c r="E2" s="8" t="s">
        <v>4</v>
      </c>
      <c r="F2" s="13">
        <v>14</v>
      </c>
      <c r="G2" s="8" t="s">
        <v>83</v>
      </c>
      <c r="H2" s="8">
        <v>0.99975476409483099</v>
      </c>
      <c r="I2" s="8">
        <v>0.994451060835849</v>
      </c>
      <c r="J2" s="8">
        <v>1.0050867535806201</v>
      </c>
    </row>
    <row r="3" spans="1:10" x14ac:dyDescent="0.25">
      <c r="A3" s="8" t="s">
        <v>14</v>
      </c>
      <c r="B3" s="8" t="s">
        <v>40</v>
      </c>
      <c r="C3" s="8" t="s">
        <v>87</v>
      </c>
      <c r="D3" s="8" t="s">
        <v>3</v>
      </c>
      <c r="E3" s="8" t="s">
        <v>4</v>
      </c>
      <c r="F3" s="13">
        <v>13</v>
      </c>
      <c r="G3" s="8" t="s">
        <v>83</v>
      </c>
      <c r="H3" s="8">
        <v>1.0001188302949999</v>
      </c>
      <c r="I3" s="8">
        <v>0.99459535596130999</v>
      </c>
      <c r="J3" s="8">
        <v>1.0056729791824499</v>
      </c>
    </row>
    <row r="4" spans="1:10" x14ac:dyDescent="0.25">
      <c r="A4" s="8" t="s">
        <v>14</v>
      </c>
      <c r="B4" s="8" t="s">
        <v>52</v>
      </c>
      <c r="C4" s="8" t="s">
        <v>51</v>
      </c>
      <c r="D4" s="8" t="s">
        <v>3</v>
      </c>
      <c r="E4" s="8" t="s">
        <v>4</v>
      </c>
      <c r="F4" s="13">
        <v>12</v>
      </c>
      <c r="G4" s="8" t="s">
        <v>83</v>
      </c>
      <c r="H4" s="8">
        <v>0.99992601440559603</v>
      </c>
      <c r="I4" s="8">
        <v>0.99969603742357505</v>
      </c>
      <c r="J4" s="8">
        <v>1.0001560442931099</v>
      </c>
    </row>
    <row r="5" spans="1:10" x14ac:dyDescent="0.25">
      <c r="A5" s="8" t="s">
        <v>14</v>
      </c>
      <c r="B5" s="8" t="s">
        <v>53</v>
      </c>
      <c r="C5" s="8" t="s">
        <v>51</v>
      </c>
      <c r="D5" s="8" t="s">
        <v>3</v>
      </c>
      <c r="E5" s="8" t="s">
        <v>4</v>
      </c>
      <c r="F5" s="13">
        <v>15</v>
      </c>
      <c r="G5" s="8" t="s">
        <v>83</v>
      </c>
      <c r="H5" s="8">
        <v>0.98372920201714797</v>
      </c>
      <c r="I5" s="8">
        <v>0.95661693879232901</v>
      </c>
      <c r="J5" s="8">
        <v>1.0116098760732699</v>
      </c>
    </row>
    <row r="6" spans="1:10" x14ac:dyDescent="0.25">
      <c r="A6" s="8" t="s">
        <v>14</v>
      </c>
      <c r="B6" s="8" t="s">
        <v>46</v>
      </c>
      <c r="C6" s="8" t="s">
        <v>84</v>
      </c>
      <c r="D6" s="8" t="s">
        <v>3</v>
      </c>
      <c r="E6" s="8" t="s">
        <v>4</v>
      </c>
      <c r="F6" s="13">
        <v>15</v>
      </c>
      <c r="G6" s="8" t="s">
        <v>83</v>
      </c>
      <c r="H6" s="8">
        <v>0.99955321608564796</v>
      </c>
      <c r="I6" s="8">
        <v>0.99594941281347005</v>
      </c>
      <c r="J6" s="8">
        <v>1.0031700595763899</v>
      </c>
    </row>
    <row r="7" spans="1:10" x14ac:dyDescent="0.25">
      <c r="A7" s="8" t="s">
        <v>41</v>
      </c>
      <c r="B7" s="8" t="s">
        <v>14</v>
      </c>
      <c r="C7" s="8" t="s">
        <v>3</v>
      </c>
      <c r="D7" s="8" t="s">
        <v>88</v>
      </c>
      <c r="E7" s="8" t="s">
        <v>4</v>
      </c>
      <c r="F7" s="13">
        <v>679</v>
      </c>
      <c r="G7" s="8" t="s">
        <v>82</v>
      </c>
      <c r="H7" s="8">
        <v>1.59687864177869</v>
      </c>
      <c r="I7" s="8">
        <v>1.21301734573999</v>
      </c>
      <c r="J7" s="8">
        <v>2.1022134642380701</v>
      </c>
    </row>
    <row r="8" spans="1:10" x14ac:dyDescent="0.25">
      <c r="A8" s="8" t="s">
        <v>40</v>
      </c>
      <c r="B8" s="8" t="s">
        <v>14</v>
      </c>
      <c r="C8" s="8" t="s">
        <v>3</v>
      </c>
      <c r="D8" s="8" t="s">
        <v>87</v>
      </c>
      <c r="E8" s="8" t="s">
        <v>4</v>
      </c>
      <c r="F8" s="13">
        <v>666</v>
      </c>
      <c r="G8" s="8" t="s">
        <v>82</v>
      </c>
      <c r="H8" s="8">
        <v>1.5835897706872399</v>
      </c>
      <c r="I8" s="8">
        <v>1.1965383120971</v>
      </c>
      <c r="J8" s="8">
        <v>2.09584309710075</v>
      </c>
    </row>
    <row r="9" spans="1:10" x14ac:dyDescent="0.25">
      <c r="A9" s="8" t="s">
        <v>52</v>
      </c>
      <c r="B9" s="8" t="s">
        <v>14</v>
      </c>
      <c r="C9" s="8" t="s">
        <v>3</v>
      </c>
      <c r="D9" s="8" t="s">
        <v>51</v>
      </c>
      <c r="E9" s="8" t="s">
        <v>4</v>
      </c>
      <c r="F9" s="13">
        <v>13</v>
      </c>
      <c r="G9" s="8" t="s">
        <v>82</v>
      </c>
      <c r="H9" s="8">
        <v>1.8487903997299799E-4</v>
      </c>
      <c r="I9" s="8">
        <v>3.7601088160416499E-20</v>
      </c>
      <c r="J9" s="9">
        <v>909023145168.43298</v>
      </c>
    </row>
    <row r="10" spans="1:10" x14ac:dyDescent="0.25">
      <c r="A10" s="8" t="s">
        <v>53</v>
      </c>
      <c r="B10" s="8" t="s">
        <v>14</v>
      </c>
      <c r="C10" s="8" t="s">
        <v>3</v>
      </c>
      <c r="D10" s="8" t="s">
        <v>51</v>
      </c>
      <c r="E10" s="8" t="s">
        <v>4</v>
      </c>
      <c r="F10" s="13">
        <v>21</v>
      </c>
      <c r="G10" s="8" t="s">
        <v>82</v>
      </c>
      <c r="H10" s="8">
        <v>1.0485569733261899</v>
      </c>
      <c r="I10" s="8">
        <v>0.75320300088742198</v>
      </c>
      <c r="J10" s="8">
        <v>1.4597282870827499</v>
      </c>
    </row>
    <row r="11" spans="1:10" x14ac:dyDescent="0.25">
      <c r="A11" s="8" t="s">
        <v>46</v>
      </c>
      <c r="B11" s="8" t="s">
        <v>14</v>
      </c>
      <c r="C11" s="8" t="s">
        <v>3</v>
      </c>
      <c r="D11" s="8" t="s">
        <v>84</v>
      </c>
      <c r="E11" s="8" t="s">
        <v>4</v>
      </c>
      <c r="F11" s="13">
        <v>116</v>
      </c>
      <c r="G11" s="8" t="s">
        <v>82</v>
      </c>
      <c r="H11" s="8">
        <v>0.88075541029469795</v>
      </c>
      <c r="I11" s="8">
        <v>0.48658580973198501</v>
      </c>
      <c r="J11" s="8">
        <v>1.5942308165350301</v>
      </c>
    </row>
    <row r="12" spans="1:10" x14ac:dyDescent="0.25">
      <c r="A12" s="8" t="s">
        <v>47</v>
      </c>
      <c r="B12" s="8" t="s">
        <v>14</v>
      </c>
      <c r="C12" s="8" t="s">
        <v>3</v>
      </c>
      <c r="D12" s="8" t="s">
        <v>85</v>
      </c>
      <c r="E12" s="8" t="s">
        <v>4</v>
      </c>
      <c r="F12" s="13">
        <v>193</v>
      </c>
      <c r="G12" s="8" t="s">
        <v>82</v>
      </c>
      <c r="H12" s="8">
        <v>1.28716139323405</v>
      </c>
      <c r="I12" s="8">
        <v>0.86065400883370402</v>
      </c>
      <c r="J12" s="8">
        <v>1.92502961146648</v>
      </c>
    </row>
    <row r="13" spans="1:10" x14ac:dyDescent="0.25">
      <c r="A13" s="8" t="s">
        <v>43</v>
      </c>
      <c r="B13" s="8" t="s">
        <v>14</v>
      </c>
      <c r="C13" s="8" t="s">
        <v>3</v>
      </c>
      <c r="D13" s="8" t="s">
        <v>42</v>
      </c>
      <c r="E13" s="8" t="s">
        <v>4</v>
      </c>
      <c r="F13" s="13">
        <v>510</v>
      </c>
      <c r="G13" s="8" t="s">
        <v>82</v>
      </c>
      <c r="H13" s="8">
        <v>0.77421895323927103</v>
      </c>
      <c r="I13" s="8">
        <v>0.61621846543839798</v>
      </c>
      <c r="J13" s="8">
        <v>0.97273129770375999</v>
      </c>
    </row>
    <row r="14" spans="1:10" x14ac:dyDescent="0.25">
      <c r="A14" s="8" t="s">
        <v>44</v>
      </c>
      <c r="B14" s="8" t="s">
        <v>14</v>
      </c>
      <c r="C14" s="8" t="s">
        <v>3</v>
      </c>
      <c r="D14" s="8" t="s">
        <v>42</v>
      </c>
      <c r="E14" s="8" t="s">
        <v>4</v>
      </c>
      <c r="F14" s="13">
        <v>434</v>
      </c>
      <c r="G14" s="8" t="s">
        <v>82</v>
      </c>
      <c r="H14" s="8">
        <v>0.77523347455548897</v>
      </c>
      <c r="I14" s="8">
        <v>0.60453567091444305</v>
      </c>
      <c r="J14" s="8">
        <v>0.99412982390650695</v>
      </c>
    </row>
    <row r="15" spans="1:10" x14ac:dyDescent="0.25">
      <c r="A15" s="8" t="s">
        <v>49</v>
      </c>
      <c r="B15" s="8" t="s">
        <v>14</v>
      </c>
      <c r="C15" s="8" t="s">
        <v>3</v>
      </c>
      <c r="D15" s="8" t="s">
        <v>48</v>
      </c>
      <c r="E15" s="8" t="s">
        <v>4</v>
      </c>
      <c r="F15" s="13">
        <v>196</v>
      </c>
      <c r="G15" s="8" t="s">
        <v>82</v>
      </c>
      <c r="H15" s="8">
        <v>1.1044257088298</v>
      </c>
      <c r="I15" s="8">
        <v>0.95170519482356297</v>
      </c>
      <c r="J15" s="8">
        <v>1.28165334492089</v>
      </c>
    </row>
    <row r="16" spans="1:10" x14ac:dyDescent="0.25">
      <c r="A16" s="8" t="s">
        <v>50</v>
      </c>
      <c r="B16" s="8" t="s">
        <v>14</v>
      </c>
      <c r="C16" s="8" t="s">
        <v>3</v>
      </c>
      <c r="D16" s="8" t="s">
        <v>48</v>
      </c>
      <c r="E16" s="8" t="s">
        <v>4</v>
      </c>
      <c r="F16" s="13">
        <v>12</v>
      </c>
      <c r="G16" s="8" t="s">
        <v>82</v>
      </c>
      <c r="H16" s="8">
        <v>6.4141750026689596E-12</v>
      </c>
      <c r="I16" s="8">
        <v>9.8787625647287801E-30</v>
      </c>
      <c r="J16" s="9">
        <v>4164655.3093355801</v>
      </c>
    </row>
    <row r="17" spans="1:10" x14ac:dyDescent="0.25">
      <c r="A17" s="8" t="s">
        <v>6</v>
      </c>
      <c r="B17" s="8" t="s">
        <v>14</v>
      </c>
      <c r="C17" s="8" t="s">
        <v>3</v>
      </c>
      <c r="D17" s="8" t="s">
        <v>2</v>
      </c>
      <c r="E17" s="8" t="s">
        <v>4</v>
      </c>
      <c r="F17" s="13">
        <v>63</v>
      </c>
      <c r="G17" s="8" t="s">
        <v>82</v>
      </c>
      <c r="H17" s="8">
        <v>1.51972458034267</v>
      </c>
      <c r="I17" s="8">
        <v>0.76087654439255603</v>
      </c>
      <c r="J17" s="8">
        <v>3.03539755183483</v>
      </c>
    </row>
    <row r="18" spans="1:10" x14ac:dyDescent="0.25">
      <c r="A18" s="8" t="s">
        <v>7</v>
      </c>
      <c r="B18" s="8" t="s">
        <v>14</v>
      </c>
      <c r="C18" s="8" t="s">
        <v>3</v>
      </c>
      <c r="D18" s="8" t="s">
        <v>5</v>
      </c>
      <c r="E18" s="8" t="s">
        <v>4</v>
      </c>
      <c r="F18" s="13">
        <v>18</v>
      </c>
      <c r="G18" s="8" t="s">
        <v>82</v>
      </c>
      <c r="H18" s="8">
        <v>0.373844698103378</v>
      </c>
      <c r="I18" s="8">
        <v>2.8498529308655901E-2</v>
      </c>
      <c r="J18" s="8">
        <v>4.9041077448707604</v>
      </c>
    </row>
    <row r="19" spans="1:10" x14ac:dyDescent="0.25">
      <c r="A19" s="8" t="s">
        <v>10</v>
      </c>
      <c r="B19" s="8" t="s">
        <v>14</v>
      </c>
      <c r="C19" s="8" t="s">
        <v>3</v>
      </c>
      <c r="D19" s="8" t="s">
        <v>5</v>
      </c>
      <c r="E19" s="8" t="s">
        <v>4</v>
      </c>
      <c r="F19" s="13">
        <v>42</v>
      </c>
      <c r="G19" s="8" t="s">
        <v>82</v>
      </c>
      <c r="H19" s="8">
        <v>0.97434400276070299</v>
      </c>
      <c r="I19" s="8">
        <v>0.89728569374159195</v>
      </c>
      <c r="J19" s="8">
        <v>1.0580200290022099</v>
      </c>
    </row>
    <row r="20" spans="1:10" x14ac:dyDescent="0.25">
      <c r="A20" s="8" t="s">
        <v>13</v>
      </c>
      <c r="B20" s="8" t="s">
        <v>14</v>
      </c>
      <c r="C20" s="8" t="s">
        <v>3</v>
      </c>
      <c r="D20" s="8" t="s">
        <v>12</v>
      </c>
      <c r="E20" s="8" t="s">
        <v>4</v>
      </c>
      <c r="F20" s="13">
        <v>22</v>
      </c>
      <c r="G20" s="8" t="s">
        <v>82</v>
      </c>
      <c r="H20" s="8">
        <v>1.0338474750058899</v>
      </c>
      <c r="I20" s="8">
        <v>0.34607477247206903</v>
      </c>
      <c r="J20" s="8">
        <v>3.0884672521523102</v>
      </c>
    </row>
    <row r="21" spans="1:10" x14ac:dyDescent="0.25">
      <c r="A21" s="8" t="s">
        <v>38</v>
      </c>
      <c r="B21" s="8" t="s">
        <v>14</v>
      </c>
      <c r="C21" s="8" t="s">
        <v>3</v>
      </c>
      <c r="D21" s="8" t="s">
        <v>12</v>
      </c>
      <c r="E21" s="8" t="s">
        <v>4</v>
      </c>
      <c r="F21" s="13">
        <v>132</v>
      </c>
      <c r="G21" s="8" t="s">
        <v>82</v>
      </c>
      <c r="H21" s="8">
        <v>0.533281433249989</v>
      </c>
      <c r="I21" s="8">
        <v>0.22464938822191299</v>
      </c>
      <c r="J21" s="8">
        <v>1.2659241554142899</v>
      </c>
    </row>
    <row r="22" spans="1:10" x14ac:dyDescent="0.25">
      <c r="A22" s="8" t="s">
        <v>11</v>
      </c>
      <c r="B22" s="8" t="s">
        <v>14</v>
      </c>
      <c r="C22" s="8" t="s">
        <v>3</v>
      </c>
      <c r="D22" s="8" t="s">
        <v>8</v>
      </c>
      <c r="E22" s="8" t="s">
        <v>4</v>
      </c>
      <c r="F22" s="13">
        <v>321</v>
      </c>
      <c r="G22" s="8" t="s">
        <v>82</v>
      </c>
      <c r="H22" s="8">
        <v>2.7361576761845798</v>
      </c>
      <c r="I22" s="8">
        <v>1.31163616207761</v>
      </c>
      <c r="J22" s="8">
        <v>5.7078014813843101</v>
      </c>
    </row>
    <row r="23" spans="1:10" x14ac:dyDescent="0.25">
      <c r="A23" s="8" t="s">
        <v>9</v>
      </c>
      <c r="B23" s="8" t="s">
        <v>14</v>
      </c>
      <c r="C23" s="8" t="s">
        <v>3</v>
      </c>
      <c r="D23" s="8" t="s">
        <v>86</v>
      </c>
      <c r="E23" s="8" t="s">
        <v>4</v>
      </c>
      <c r="F23" s="13">
        <v>88</v>
      </c>
      <c r="G23" s="8" t="s">
        <v>82</v>
      </c>
      <c r="H23" s="8">
        <v>8.2474362158234396</v>
      </c>
      <c r="I23" s="8">
        <v>1.1070713024722201</v>
      </c>
      <c r="J23" s="8">
        <v>61.441574704518899</v>
      </c>
    </row>
    <row r="24" spans="1:10" x14ac:dyDescent="0.25">
      <c r="A24" s="8" t="s">
        <v>14</v>
      </c>
      <c r="B24" s="8" t="s">
        <v>47</v>
      </c>
      <c r="C24" s="8" t="s">
        <v>85</v>
      </c>
      <c r="D24" s="8" t="s">
        <v>3</v>
      </c>
      <c r="E24" s="8" t="s">
        <v>4</v>
      </c>
      <c r="F24" s="13">
        <v>13</v>
      </c>
      <c r="G24" s="8" t="s">
        <v>83</v>
      </c>
      <c r="H24" s="8">
        <v>1.0002259870774499</v>
      </c>
      <c r="I24" s="8">
        <v>0.99561045137246196</v>
      </c>
      <c r="J24" s="8">
        <v>1.0048629198758601</v>
      </c>
    </row>
    <row r="25" spans="1:10" x14ac:dyDescent="0.25">
      <c r="A25" s="8" t="s">
        <v>14</v>
      </c>
      <c r="B25" s="8" t="s">
        <v>43</v>
      </c>
      <c r="C25" s="8" t="s">
        <v>42</v>
      </c>
      <c r="D25" s="8" t="s">
        <v>3</v>
      </c>
      <c r="E25" s="8" t="s">
        <v>4</v>
      </c>
      <c r="F25" s="13">
        <v>13</v>
      </c>
      <c r="G25" s="8" t="s">
        <v>83</v>
      </c>
      <c r="H25" s="8">
        <v>0.99455066411989401</v>
      </c>
      <c r="I25" s="8">
        <v>0.987989124800709</v>
      </c>
      <c r="J25" s="8">
        <v>1.0011557806376099</v>
      </c>
    </row>
    <row r="26" spans="1:10" x14ac:dyDescent="0.25">
      <c r="A26" s="8" t="s">
        <v>14</v>
      </c>
      <c r="B26" s="8" t="s">
        <v>44</v>
      </c>
      <c r="C26" s="8" t="s">
        <v>42</v>
      </c>
      <c r="D26" s="8" t="s">
        <v>3</v>
      </c>
      <c r="E26" s="8" t="s">
        <v>4</v>
      </c>
      <c r="F26" s="13">
        <v>13</v>
      </c>
      <c r="G26" s="8" t="s">
        <v>83</v>
      </c>
      <c r="H26" s="8">
        <v>0.99430262032204797</v>
      </c>
      <c r="I26" s="8">
        <v>0.98568720505331098</v>
      </c>
      <c r="J26" s="8">
        <v>1.0029933387700001</v>
      </c>
    </row>
    <row r="27" spans="1:10" x14ac:dyDescent="0.25">
      <c r="A27" s="8" t="s">
        <v>14</v>
      </c>
      <c r="B27" s="8" t="s">
        <v>49</v>
      </c>
      <c r="C27" s="8" t="s">
        <v>48</v>
      </c>
      <c r="D27" s="8" t="s">
        <v>3</v>
      </c>
      <c r="E27" s="8" t="s">
        <v>4</v>
      </c>
      <c r="F27" s="13">
        <v>15</v>
      </c>
      <c r="G27" s="8" t="s">
        <v>83</v>
      </c>
      <c r="H27" s="8">
        <v>0.99527495820562095</v>
      </c>
      <c r="I27" s="8">
        <v>0.97227583495124603</v>
      </c>
      <c r="J27" s="8">
        <v>1.0188181242629299</v>
      </c>
    </row>
    <row r="28" spans="1:10" x14ac:dyDescent="0.25">
      <c r="A28" s="8" t="s">
        <v>14</v>
      </c>
      <c r="B28" s="8" t="s">
        <v>50</v>
      </c>
      <c r="C28" s="8" t="s">
        <v>48</v>
      </c>
      <c r="D28" s="8" t="s">
        <v>3</v>
      </c>
      <c r="E28" s="8" t="s">
        <v>4</v>
      </c>
      <c r="F28" s="13">
        <v>12</v>
      </c>
      <c r="G28" s="8" t="s">
        <v>83</v>
      </c>
      <c r="H28" s="8">
        <v>1.00007270172528</v>
      </c>
      <c r="I28" s="8">
        <v>0.99976226137101898</v>
      </c>
      <c r="J28" s="8">
        <v>1.0003832384756799</v>
      </c>
    </row>
    <row r="29" spans="1:10" x14ac:dyDescent="0.25">
      <c r="A29" s="8" t="s">
        <v>14</v>
      </c>
      <c r="B29" s="8" t="s">
        <v>6</v>
      </c>
      <c r="C29" s="8" t="s">
        <v>2</v>
      </c>
      <c r="D29" s="8" t="s">
        <v>3</v>
      </c>
      <c r="E29" s="8" t="s">
        <v>4</v>
      </c>
      <c r="F29" s="13">
        <v>9</v>
      </c>
      <c r="G29" s="8" t="s">
        <v>83</v>
      </c>
      <c r="H29" s="8">
        <v>1.0008011987952901</v>
      </c>
      <c r="I29" s="8">
        <v>0.99468762932511301</v>
      </c>
      <c r="J29" s="8">
        <v>1.0069523436112999</v>
      </c>
    </row>
    <row r="30" spans="1:10" x14ac:dyDescent="0.25">
      <c r="A30" s="8" t="s">
        <v>14</v>
      </c>
      <c r="B30" s="8" t="s">
        <v>7</v>
      </c>
      <c r="C30" s="8" t="s">
        <v>5</v>
      </c>
      <c r="D30" s="8" t="s">
        <v>3</v>
      </c>
      <c r="E30" s="8" t="s">
        <v>4</v>
      </c>
      <c r="F30" s="13">
        <v>12</v>
      </c>
      <c r="G30" s="8" t="s">
        <v>83</v>
      </c>
      <c r="H30" s="8">
        <v>1.0036667850487799</v>
      </c>
      <c r="I30" s="8">
        <v>0.99940809567455002</v>
      </c>
      <c r="J30" s="8">
        <v>1.0079436215995901</v>
      </c>
    </row>
    <row r="31" spans="1:10" x14ac:dyDescent="0.25">
      <c r="A31" s="8" t="s">
        <v>14</v>
      </c>
      <c r="B31" s="8" t="s">
        <v>10</v>
      </c>
      <c r="C31" s="8" t="s">
        <v>5</v>
      </c>
      <c r="D31" s="8" t="s">
        <v>3</v>
      </c>
      <c r="E31" s="8" t="s">
        <v>4</v>
      </c>
      <c r="F31" s="13">
        <v>13</v>
      </c>
      <c r="G31" s="8" t="s">
        <v>83</v>
      </c>
      <c r="H31" s="8">
        <v>0.98944483009909001</v>
      </c>
      <c r="I31" s="8">
        <v>0.92173843976153103</v>
      </c>
      <c r="J31" s="8">
        <v>1.0621246001882101</v>
      </c>
    </row>
    <row r="32" spans="1:10" x14ac:dyDescent="0.25">
      <c r="A32" s="8" t="s">
        <v>14</v>
      </c>
      <c r="B32" s="8" t="s">
        <v>13</v>
      </c>
      <c r="C32" s="8" t="s">
        <v>12</v>
      </c>
      <c r="D32" s="8" t="s">
        <v>3</v>
      </c>
      <c r="E32" s="8" t="s">
        <v>4</v>
      </c>
      <c r="F32" s="13">
        <v>13</v>
      </c>
      <c r="G32" s="8" t="s">
        <v>83</v>
      </c>
      <c r="H32" s="8">
        <v>1.0025203519493699</v>
      </c>
      <c r="I32" s="8">
        <v>0.99553562127309703</v>
      </c>
      <c r="J32" s="8">
        <v>1.0095540878662199</v>
      </c>
    </row>
    <row r="33" spans="1:10" x14ac:dyDescent="0.25">
      <c r="A33" s="8" t="s">
        <v>14</v>
      </c>
      <c r="B33" s="8" t="s">
        <v>38</v>
      </c>
      <c r="C33" s="8" t="s">
        <v>12</v>
      </c>
      <c r="D33" s="8" t="s">
        <v>3</v>
      </c>
      <c r="E33" s="8" t="s">
        <v>4</v>
      </c>
      <c r="F33" s="13">
        <v>12</v>
      </c>
      <c r="G33" s="8" t="s">
        <v>83</v>
      </c>
      <c r="H33" s="8">
        <v>1.0005351630781001</v>
      </c>
      <c r="I33" s="8">
        <v>0.99727756014271096</v>
      </c>
      <c r="J33" s="8">
        <v>1.0038034069597099</v>
      </c>
    </row>
    <row r="34" spans="1:10" x14ac:dyDescent="0.25">
      <c r="A34" s="8" t="s">
        <v>14</v>
      </c>
      <c r="B34" s="8" t="s">
        <v>11</v>
      </c>
      <c r="C34" s="8" t="s">
        <v>8</v>
      </c>
      <c r="D34" s="8" t="s">
        <v>3</v>
      </c>
      <c r="E34" s="8" t="s">
        <v>4</v>
      </c>
      <c r="F34" s="13">
        <v>14</v>
      </c>
      <c r="G34" s="8" t="s">
        <v>83</v>
      </c>
      <c r="H34" s="8">
        <v>1.0023328373095599</v>
      </c>
      <c r="I34" s="8">
        <v>0.99910621701761504</v>
      </c>
      <c r="J34" s="8">
        <v>1.00556987799359</v>
      </c>
    </row>
    <row r="35" spans="1:10" x14ac:dyDescent="0.25">
      <c r="A35" s="8" t="s">
        <v>14</v>
      </c>
      <c r="B35" s="8" t="s">
        <v>9</v>
      </c>
      <c r="C35" s="8" t="s">
        <v>86</v>
      </c>
      <c r="D35" s="8" t="s">
        <v>3</v>
      </c>
      <c r="E35" s="8" t="s">
        <v>4</v>
      </c>
      <c r="F35" s="13">
        <v>12</v>
      </c>
      <c r="G35" s="8" t="s">
        <v>83</v>
      </c>
      <c r="H35" s="8">
        <v>0.99990394397862303</v>
      </c>
      <c r="I35" s="8">
        <v>0.99660023122055896</v>
      </c>
      <c r="J35" s="8">
        <v>1.0032186084881001</v>
      </c>
    </row>
  </sheetData>
  <sortState xmlns:xlrd2="http://schemas.microsoft.com/office/spreadsheetml/2017/richdata2" ref="A2:J35">
    <sortCondition ref="C2:C35"/>
    <sortCondition ref="D2:D35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Shiben ZHU</cp:lastModifiedBy>
  <dcterms:created xsi:type="dcterms:W3CDTF">2015-06-05T18:19:34Z</dcterms:created>
  <dcterms:modified xsi:type="dcterms:W3CDTF">2025-07-29T03:55:50Z</dcterms:modified>
</cp:coreProperties>
</file>